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240" yWindow="105" windowWidth="14805" windowHeight="8010" firstSheet="1" activeTab="5"/>
  </bookViews>
  <sheets>
    <sheet name="Orders" sheetId="1" r:id="rId1"/>
    <sheet name="Products" sheetId="2" r:id="rId2"/>
    <sheet name="Customers" sheetId="3" r:id="rId3"/>
    <sheet name="Data_Clean" sheetId="7" r:id="rId4"/>
    <sheet name="Analysis" sheetId="8" r:id="rId5"/>
    <sheet name="Dashboard" sheetId="9" r:id="rId6"/>
    <sheet name="_README" sheetId="10" r:id="rId7"/>
    <sheet name="Error Check" sheetId="11" r:id="rId8"/>
  </sheets>
  <definedNames>
    <definedName name="Slicer_Category">#N/A</definedName>
    <definedName name="Slicer_CustomerTier">#N/A</definedName>
    <definedName name="Slicer_Region">#N/A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11" l="1"/>
  <c r="B5" i="11"/>
  <c r="B4" i="11"/>
  <c r="B3" i="11"/>
  <c r="B4" i="8"/>
  <c r="B3" i="8"/>
  <c r="B2" i="8"/>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S2" i="7"/>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J2" i="7" l="1"/>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T2" i="7"/>
  <c r="U2" i="7" s="1"/>
  <c r="T3" i="7"/>
  <c r="U3" i="7" s="1"/>
  <c r="T4" i="7"/>
  <c r="U4" i="7" s="1"/>
  <c r="T5" i="7"/>
  <c r="U5" i="7" s="1"/>
  <c r="T6" i="7"/>
  <c r="U6" i="7" s="1"/>
  <c r="T7" i="7"/>
  <c r="U7" i="7" s="1"/>
  <c r="T8" i="7"/>
  <c r="U8" i="7" s="1"/>
  <c r="T9" i="7"/>
  <c r="U9" i="7" s="1"/>
  <c r="T10" i="7"/>
  <c r="U10" i="7" s="1"/>
  <c r="T11" i="7"/>
  <c r="U11" i="7" s="1"/>
  <c r="T12" i="7"/>
  <c r="U12" i="7" s="1"/>
  <c r="T13" i="7"/>
  <c r="U13" i="7" s="1"/>
  <c r="T14" i="7"/>
  <c r="U14" i="7" s="1"/>
  <c r="T15" i="7"/>
  <c r="U15" i="7" s="1"/>
  <c r="T16" i="7"/>
  <c r="U16" i="7" s="1"/>
  <c r="T17" i="7"/>
  <c r="U17" i="7" s="1"/>
  <c r="T18" i="7"/>
  <c r="U18" i="7" s="1"/>
  <c r="T19" i="7"/>
  <c r="U19" i="7" s="1"/>
  <c r="T20" i="7"/>
  <c r="U20" i="7" s="1"/>
  <c r="T21" i="7"/>
  <c r="U21" i="7" s="1"/>
  <c r="T22" i="7"/>
  <c r="U22" i="7" s="1"/>
  <c r="T23" i="7"/>
  <c r="U23" i="7" s="1"/>
  <c r="T24" i="7"/>
  <c r="U24" i="7" s="1"/>
  <c r="T25" i="7"/>
  <c r="U25" i="7" s="1"/>
  <c r="T26" i="7"/>
  <c r="U26" i="7" s="1"/>
  <c r="T27" i="7"/>
  <c r="U27" i="7" s="1"/>
  <c r="T28" i="7"/>
  <c r="U28" i="7" s="1"/>
  <c r="T29" i="7"/>
  <c r="U29" i="7" s="1"/>
  <c r="T30" i="7"/>
  <c r="U30" i="7" s="1"/>
  <c r="T31" i="7"/>
  <c r="U31" i="7" s="1"/>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B6" i="9" l="1"/>
  <c r="B5" i="9"/>
  <c r="B4" i="9"/>
</calcChain>
</file>

<file path=xl/sharedStrings.xml><?xml version="1.0" encoding="utf-8"?>
<sst xmlns="http://schemas.openxmlformats.org/spreadsheetml/2006/main" count="465" uniqueCount="183">
  <si>
    <t>OrderID</t>
  </si>
  <si>
    <t>CustomerID</t>
  </si>
  <si>
    <t>ProductID</t>
  </si>
  <si>
    <t>Quantity</t>
  </si>
  <si>
    <t>OrderDate</t>
  </si>
  <si>
    <t>Region</t>
  </si>
  <si>
    <t>Discount</t>
  </si>
  <si>
    <t>Status</t>
  </si>
  <si>
    <t>C001</t>
  </si>
  <si>
    <t>C002</t>
  </si>
  <si>
    <t>C003</t>
  </si>
  <si>
    <t>C004</t>
  </si>
  <si>
    <t>C005</t>
  </si>
  <si>
    <t>C006</t>
  </si>
  <si>
    <t>C007</t>
  </si>
  <si>
    <t>C008</t>
  </si>
  <si>
    <t>P101</t>
  </si>
  <si>
    <t>P102</t>
  </si>
  <si>
    <t>P103</t>
  </si>
  <si>
    <t>P104</t>
  </si>
  <si>
    <t>P105</t>
  </si>
  <si>
    <t>P106</t>
  </si>
  <si>
    <t>P107</t>
  </si>
  <si>
    <t>P108</t>
  </si>
  <si>
    <t>P109</t>
  </si>
  <si>
    <t>P110</t>
  </si>
  <si>
    <t>East</t>
  </si>
  <si>
    <t>West</t>
  </si>
  <si>
    <t>North</t>
  </si>
  <si>
    <t>South</t>
  </si>
  <si>
    <t>west</t>
  </si>
  <si>
    <t>Delivered</t>
  </si>
  <si>
    <t>Cancelled</t>
  </si>
  <si>
    <t>Processing</t>
  </si>
  <si>
    <t xml:space="preserve">Delivered </t>
  </si>
  <si>
    <t>delivered</t>
  </si>
  <si>
    <t>ProductName</t>
  </si>
  <si>
    <t>Category</t>
  </si>
  <si>
    <t>UnitPrice</t>
  </si>
  <si>
    <t>Cost</t>
  </si>
  <si>
    <t>Supplier</t>
  </si>
  <si>
    <t>ProductMargin</t>
  </si>
  <si>
    <t>Wireless Mouse</t>
  </si>
  <si>
    <t>Office Chair</t>
  </si>
  <si>
    <t>Mechanical Keyboard</t>
  </si>
  <si>
    <t>Monitor 24"</t>
  </si>
  <si>
    <t>Desk Lamp</t>
  </si>
  <si>
    <t>Webcam HD</t>
  </si>
  <si>
    <t>Notebook Set</t>
  </si>
  <si>
    <t>Coffee Maker</t>
  </si>
  <si>
    <t>Bluetooth Speaker</t>
  </si>
  <si>
    <t>File Cabinet</t>
  </si>
  <si>
    <t>Electronics</t>
  </si>
  <si>
    <t>Furniture</t>
  </si>
  <si>
    <t>Home</t>
  </si>
  <si>
    <t>Office Supplies</t>
  </si>
  <si>
    <t>TechSupplies</t>
  </si>
  <si>
    <t>OfficeWorks</t>
  </si>
  <si>
    <t>DisplayCo</t>
  </si>
  <si>
    <t>HomeGoods</t>
  </si>
  <si>
    <t>PaperCo</t>
  </si>
  <si>
    <t>AudioTech</t>
  </si>
  <si>
    <t>JoinDate</t>
  </si>
  <si>
    <t>Tier</t>
  </si>
  <si>
    <t>Email</t>
  </si>
  <si>
    <t>City</t>
  </si>
  <si>
    <t>State</t>
  </si>
  <si>
    <t>John Smith</t>
  </si>
  <si>
    <t>Jane Doe</t>
  </si>
  <si>
    <t>Robert Johnson</t>
  </si>
  <si>
    <t>Maria Garcia</t>
  </si>
  <si>
    <t>David Brown</t>
  </si>
  <si>
    <t>Lisa Wilson</t>
  </si>
  <si>
    <t>Michael Lee</t>
  </si>
  <si>
    <t>Sarah Miller</t>
  </si>
  <si>
    <t>Gold</t>
  </si>
  <si>
    <t>Silver</t>
  </si>
  <si>
    <t>Bronze</t>
  </si>
  <si>
    <t>john@email.com</t>
  </si>
  <si>
    <t>jane@email.com</t>
  </si>
  <si>
    <t>robert@email.com</t>
  </si>
  <si>
    <t>maria@email.com</t>
  </si>
  <si>
    <t>david@email.com</t>
  </si>
  <si>
    <t>lisa@email.com</t>
  </si>
  <si>
    <t>michael@email.com</t>
  </si>
  <si>
    <t>sarah@email.com</t>
  </si>
  <si>
    <t>New York</t>
  </si>
  <si>
    <t>Los Angeles</t>
  </si>
  <si>
    <t>Chicago</t>
  </si>
  <si>
    <t>Houston</t>
  </si>
  <si>
    <t>Phoenix</t>
  </si>
  <si>
    <t>Philadelphia</t>
  </si>
  <si>
    <t>San Antonio</t>
  </si>
  <si>
    <t>San Diego</t>
  </si>
  <si>
    <t>NY</t>
  </si>
  <si>
    <t>CA</t>
  </si>
  <si>
    <t>IL</t>
  </si>
  <si>
    <t>TX</t>
  </si>
  <si>
    <t>AZ</t>
  </si>
  <si>
    <t>PA</t>
  </si>
  <si>
    <t>OrderMonth</t>
  </si>
  <si>
    <t>OrderYear</t>
  </si>
  <si>
    <t>MonthYear</t>
  </si>
  <si>
    <t>Quarter</t>
  </si>
  <si>
    <t>DiscountValue</t>
  </si>
  <si>
    <t>Revenue</t>
  </si>
  <si>
    <t>CustomerName</t>
  </si>
  <si>
    <t>CleanName</t>
  </si>
  <si>
    <t>CustomerTier</t>
  </si>
  <si>
    <t>CustomerCity</t>
  </si>
  <si>
    <t>Metric</t>
  </si>
  <si>
    <t>Results</t>
  </si>
  <si>
    <t>Total Revenue(Delivered,East)</t>
  </si>
  <si>
    <t>Avg.Discount(Furniture Category)</t>
  </si>
  <si>
    <t>OrderSize</t>
  </si>
  <si>
    <t>Count of large Orders(Silver Tier)</t>
  </si>
  <si>
    <t>Key Metrics</t>
  </si>
  <si>
    <t>Monthly Sales Trend</t>
  </si>
  <si>
    <t>Top 5 customers</t>
  </si>
  <si>
    <t>Row Labels</t>
  </si>
  <si>
    <t>Feb-24</t>
  </si>
  <si>
    <t>Jan-24</t>
  </si>
  <si>
    <t>Mar-24</t>
  </si>
  <si>
    <t>Grand Total</t>
  </si>
  <si>
    <t>Sum of Revenue</t>
  </si>
  <si>
    <t>Customer</t>
  </si>
  <si>
    <t>Total Revenue</t>
  </si>
  <si>
    <t>Revenue by Category</t>
  </si>
  <si>
    <t xml:space="preserve"> Sales Performance Dashboard</t>
  </si>
  <si>
    <t>Project Overview</t>
  </si>
  <si>
    <t>Key Achievements:</t>
  </si>
  <si>
    <t xml:space="preserve"> </t>
  </si>
  <si>
    <r>
      <rPr>
        <b/>
        <sz val="11"/>
        <color theme="1"/>
        <rFont val="Calibri"/>
        <family val="2"/>
        <scheme val="minor"/>
      </rPr>
      <t>Tools Used:</t>
    </r>
    <r>
      <rPr>
        <sz val="11"/>
        <color theme="1"/>
        <rFont val="Calibri"/>
        <family val="2"/>
        <scheme val="minor"/>
      </rPr>
      <t>Microsoft Excel 2013(Advanced Formulas,PivotTables,Charts,Slicers)</t>
    </r>
  </si>
  <si>
    <r>
      <rPr>
        <b/>
        <sz val="11"/>
        <color theme="1"/>
        <rFont val="Calibri"/>
        <family val="2"/>
        <scheme val="minor"/>
      </rPr>
      <t>Scope:</t>
    </r>
    <r>
      <rPr>
        <sz val="11"/>
        <color theme="1"/>
        <rFont val="Calibri"/>
        <family val="2"/>
        <scheme val="minor"/>
      </rPr>
      <t>Analysis of 30+ sales orders across 8 customers and 10 product categories</t>
    </r>
  </si>
  <si>
    <r>
      <rPr>
        <b/>
        <sz val="11"/>
        <color theme="1"/>
        <rFont val="Calibri"/>
        <family val="2"/>
        <scheme val="minor"/>
      </rPr>
      <t>Objective:</t>
    </r>
    <r>
      <rPr>
        <sz val="11"/>
        <color theme="1"/>
        <rFont val="Calibri"/>
        <family val="2"/>
        <scheme val="minor"/>
      </rPr>
      <t>To analyse Q1 2024 Sales data,identify the key performance trends  and build an attractive dashboard for business decision-making.</t>
    </r>
  </si>
  <si>
    <r>
      <rPr>
        <b/>
        <sz val="11"/>
        <color theme="1"/>
        <rFont val="Calibri"/>
        <family val="2"/>
        <scheme val="minor"/>
      </rPr>
      <t>.</t>
    </r>
    <r>
      <rPr>
        <sz val="11"/>
        <color theme="1"/>
        <rFont val="Calibri"/>
        <family val="2"/>
        <scheme val="minor"/>
      </rPr>
      <t>Automated data cleaning and enrichment using 15+ Excel functions</t>
    </r>
  </si>
  <si>
    <r>
      <rPr>
        <b/>
        <sz val="11"/>
        <color theme="1"/>
        <rFont val="Calibri"/>
        <family val="2"/>
        <scheme val="minor"/>
      </rPr>
      <t>.</t>
    </r>
    <r>
      <rPr>
        <sz val="11"/>
        <color theme="1"/>
        <rFont val="Calibri"/>
        <family val="2"/>
        <scheme val="minor"/>
      </rPr>
      <t>Built dynamic,interactive dasboard with one-click filtering.</t>
    </r>
  </si>
  <si>
    <r>
      <rPr>
        <b/>
        <sz val="11"/>
        <color theme="1"/>
        <rFont val="Calibri"/>
        <family val="2"/>
        <scheme val="minor"/>
      </rPr>
      <t>.</t>
    </r>
    <r>
      <rPr>
        <sz val="11"/>
        <color theme="1"/>
        <rFont val="Calibri"/>
        <family val="2"/>
        <scheme val="minor"/>
      </rPr>
      <t>Identified top-performing regions,products and customer segments.</t>
    </r>
  </si>
  <si>
    <t>Table Name</t>
  </si>
  <si>
    <t>Column</t>
  </si>
  <si>
    <t>Description</t>
  </si>
  <si>
    <t>Sample Value</t>
  </si>
  <si>
    <t>tbl_Practice</t>
  </si>
  <si>
    <t>Unique Order Identifier</t>
  </si>
  <si>
    <t>Calculated:Quantity*UnitPrice*(1-Discount)</t>
  </si>
  <si>
    <t>Categorized:"Large"ifRevenue&gt;$500</t>
  </si>
  <si>
    <t>Standard</t>
  </si>
  <si>
    <t>tbl_Products</t>
  </si>
  <si>
    <t>Product category group</t>
  </si>
  <si>
    <t>tbl_Customers</t>
  </si>
  <si>
    <t>Customer loyalty level</t>
  </si>
  <si>
    <t>Data Dictionary</t>
  </si>
  <si>
    <t>Workbook Structure</t>
  </si>
  <si>
    <t>SHEET GUIDE:</t>
  </si>
  <si>
    <t>_README(This Sheet):Documentation</t>
  </si>
  <si>
    <t>Data_Clean:Master analysis table(tbl_Practice) with all calculated columns</t>
  </si>
  <si>
    <t>Analysis:Key metrics calculated using SUMIFS,COUNTIFS,AVERAGEIFS</t>
  </si>
  <si>
    <t>Dashboard:Interactive report with charts and slicers</t>
  </si>
  <si>
    <t>Products:Reference table for product details</t>
  </si>
  <si>
    <t>Customers:Reference table for customer information</t>
  </si>
  <si>
    <t>How to use This Dashboard</t>
  </si>
  <si>
    <t>INTERACTIVE FEATURES:</t>
  </si>
  <si>
    <t>1.Slicers(Right side):Click any Region,Category or customerTier to filter all charts</t>
  </si>
  <si>
    <t>2.Charts Update:Line chart and category chart update instantly with slicer selections</t>
  </si>
  <si>
    <t>Top 5 Customers:Always shows highest revenue customers based on current filters</t>
  </si>
  <si>
    <t>Key metrics:shows totals for current filtered view.</t>
  </si>
  <si>
    <t>REFRESHING DATA</t>
  </si>
  <si>
    <t>1.Add new rows to the 'Data_Clean'sheet table</t>
  </si>
  <si>
    <t>Go to Data tab-Refresh all</t>
  </si>
  <si>
    <t>All Pivot Tables,vharts and metrics update automatically</t>
  </si>
  <si>
    <t>Navigation</t>
  </si>
  <si>
    <t>Overview</t>
  </si>
  <si>
    <t>Sheets</t>
  </si>
  <si>
    <t>How to Use</t>
  </si>
  <si>
    <r>
      <t xml:space="preserve">                           </t>
    </r>
    <r>
      <rPr>
        <b/>
        <sz val="20"/>
        <color rgb="FFC00000"/>
        <rFont val="Calibri"/>
        <family val="2"/>
        <scheme val="minor"/>
      </rPr>
      <t xml:space="preserve">        Sales Performance Analysis Dashboard</t>
    </r>
  </si>
  <si>
    <t>CleanRegion</t>
  </si>
  <si>
    <t>CleanStatus</t>
  </si>
  <si>
    <t>Profit</t>
  </si>
  <si>
    <t>Data Quality Check</t>
  </si>
  <si>
    <t>Missing Customer IDs</t>
  </si>
  <si>
    <t>Missing Product  IDs</t>
  </si>
  <si>
    <t>Invalid Regions</t>
  </si>
  <si>
    <t>Case Issues Fixed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</si>
</sst>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4" formatCode="_(&quot;$&quot;* #,##0.00_);_(&quot;$&quot;* \(#,##0.00\);_(&quot;$&quot;* &quot;-&quot;??_);_(@_)"/>
    <numFmt numFmtId="164" formatCode="&quot;$&quot;#,##0.00"/>
    <numFmt numFmtId="165" formatCode="&quot;$&quot;#,##0"/>
  </numFmts>
  <fonts count="11"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Calibri"/>
      <scheme val="minor"/>
    </font>
    <font>
      <sz val="11"/>
      <color theme="1"/>
      <name val="Calibri"/>
      <family val="2"/>
      <scheme val="minor"/>
    </font>
    <font>
      <b/>
      <sz val="16"/>
      <color theme="1"/>
      <name val="Calibri"/>
      <family val="2"/>
      <scheme val="minor"/>
    </font>
    <font>
      <b/>
      <sz val="20"/>
      <color rgb="FFC00000"/>
      <name val="Calibri"/>
      <family val="2"/>
      <scheme val="minor"/>
    </font>
    <font>
      <b/>
      <sz val="15"/>
      <color theme="3"/>
      <name val="Calibri"/>
      <family val="2"/>
      <scheme val="minor"/>
    </font>
    <font>
      <b/>
      <sz val="14"/>
      <color theme="1"/>
      <name val="Calibri"/>
      <family val="2"/>
      <scheme val="minor"/>
    </font>
    <font>
      <b/>
      <sz val="18"/>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ck">
        <color theme="4"/>
      </bottom>
      <diagonal/>
    </border>
  </borders>
  <cellStyleXfs count="4">
    <xf numFmtId="0" fontId="0" fillId="0" borderId="0"/>
    <xf numFmtId="0" fontId="2" fillId="0" borderId="0" applyNumberFormat="0" applyFill="0" applyBorder="0" applyAlignment="0" applyProtection="0"/>
    <xf numFmtId="44" fontId="4" fillId="0" borderId="0" applyFont="0" applyFill="0" applyBorder="0" applyAlignment="0" applyProtection="0"/>
    <xf numFmtId="0" fontId="7" fillId="0" borderId="10" applyNumberFormat="0" applyFill="0" applyAlignment="0" applyProtection="0"/>
  </cellStyleXfs>
  <cellXfs count="50">
    <xf numFmtId="0" fontId="0" fillId="0" borderId="0" xfId="0"/>
    <xf numFmtId="0" fontId="1" fillId="0" borderId="0" xfId="0" applyFont="1"/>
    <xf numFmtId="14" fontId="0" fillId="0" borderId="0" xfId="0" applyNumberFormat="1"/>
    <xf numFmtId="9" fontId="0" fillId="0" borderId="0" xfId="0" applyNumberFormat="1"/>
    <xf numFmtId="10" fontId="0" fillId="0" borderId="0" xfId="0" applyNumberFormat="1"/>
    <xf numFmtId="0" fontId="2" fillId="0" borderId="0" xfId="1"/>
    <xf numFmtId="0" fontId="3" fillId="0" borderId="0" xfId="0" applyFont="1"/>
    <xf numFmtId="0" fontId="0" fillId="0" borderId="0" xfId="0" applyNumberFormat="1"/>
    <xf numFmtId="164" fontId="3" fillId="0" borderId="0" xfId="0" applyNumberFormat="1" applyFont="1"/>
    <xf numFmtId="164" fontId="0" fillId="0" borderId="0" xfId="0" applyNumberFormat="1"/>
    <xf numFmtId="2" fontId="3" fillId="0" borderId="0" xfId="0" applyNumberFormat="1" applyFont="1"/>
    <xf numFmtId="2" fontId="0" fillId="0" borderId="0" xfId="0" applyNumberFormat="1"/>
    <xf numFmtId="164" fontId="1" fillId="0" borderId="0" xfId="0" applyNumberFormat="1" applyFont="1"/>
    <xf numFmtId="164" fontId="1" fillId="0" borderId="0" xfId="2" applyNumberFormat="1" applyFont="1"/>
    <xf numFmtId="164" fontId="0" fillId="0" borderId="0" xfId="2" applyNumberFormat="1" applyFont="1"/>
    <xf numFmtId="0" fontId="0" fillId="0" borderId="0" xfId="0" quotePrefix="1"/>
    <xf numFmtId="0" fontId="5" fillId="0" borderId="0" xfId="0" applyFont="1"/>
    <xf numFmtId="2" fontId="0"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applyFont="1"/>
    <xf numFmtId="165" fontId="0" fillId="0" borderId="0" xfId="0" applyNumberFormat="1"/>
    <xf numFmtId="0" fontId="6" fillId="0" borderId="0" xfId="0" applyFont="1" applyAlignment="1">
      <alignment horizontal="center"/>
    </xf>
    <xf numFmtId="0" fontId="0" fillId="0" borderId="0" xfId="0" applyAlignment="1">
      <alignment horizontal="center"/>
    </xf>
    <xf numFmtId="0" fontId="9" fillId="0" borderId="0" xfId="0" applyFont="1" applyBorder="1" applyAlignment="1">
      <alignment horizontal="center"/>
    </xf>
    <xf numFmtId="0" fontId="0" fillId="0" borderId="0" xfId="0" applyBorder="1" applyAlignment="1"/>
    <xf numFmtId="0" fontId="2" fillId="0" borderId="0" xfId="1" applyBorder="1" applyAlignment="1"/>
    <xf numFmtId="0" fontId="0" fillId="0" borderId="0" xfId="0" applyBorder="1" applyAlignment="1">
      <alignment horizontal="left"/>
    </xf>
    <xf numFmtId="0" fontId="1" fillId="0" borderId="0" xfId="0" applyFont="1" applyBorder="1" applyAlignment="1">
      <alignment horizontal="left"/>
    </xf>
    <xf numFmtId="0" fontId="0" fillId="0" borderId="0" xfId="0" applyFont="1" applyBorder="1" applyAlignment="1">
      <alignment horizontal="left" indent="2"/>
    </xf>
    <xf numFmtId="0" fontId="0" fillId="0" borderId="0" xfId="0" applyBorder="1" applyAlignment="1">
      <alignment horizontal="left" indent="2"/>
    </xf>
    <xf numFmtId="0" fontId="5" fillId="2" borderId="0" xfId="0" applyFont="1" applyFill="1" applyBorder="1" applyAlignment="1">
      <alignment horizontal="center"/>
    </xf>
    <xf numFmtId="0" fontId="8" fillId="2" borderId="0" xfId="0" applyFont="1" applyFill="1" applyBorder="1" applyAlignment="1"/>
    <xf numFmtId="0" fontId="0" fillId="2" borderId="0" xfId="0" applyFill="1" applyBorder="1" applyAlignment="1"/>
    <xf numFmtId="0" fontId="1" fillId="2" borderId="0" xfId="0" applyFont="1" applyFill="1" applyBorder="1" applyAlignment="1">
      <alignment horizontal="left" indent="2"/>
    </xf>
    <xf numFmtId="0" fontId="7" fillId="2" borderId="0" xfId="3" applyFill="1" applyBorder="1" applyAlignment="1"/>
    <xf numFmtId="0" fontId="0" fillId="3" borderId="0" xfId="0" applyFill="1" applyBorder="1" applyAlignment="1"/>
    <xf numFmtId="8" fontId="0" fillId="3" borderId="0" xfId="0" applyNumberFormat="1" applyFill="1" applyBorder="1" applyAlignment="1"/>
    <xf numFmtId="0" fontId="1" fillId="3" borderId="0" xfId="0" applyFont="1" applyFill="1" applyBorder="1" applyAlignment="1"/>
    <xf numFmtId="0" fontId="1" fillId="0" borderId="0" xfId="0" applyFont="1" applyBorder="1" applyAlignment="1"/>
    <xf numFmtId="0" fontId="10" fillId="0" borderId="0" xfId="0" applyFont="1" applyBorder="1" applyAlignment="1">
      <alignment horizontal="center"/>
    </xf>
  </cellXfs>
  <cellStyles count="4">
    <cellStyle name="Currency" xfId="2" builtinId="4"/>
    <cellStyle name="Heading 1" xfId="3" builtinId="16"/>
    <cellStyle name="Hyperlink" xfId="1" builtinId="8"/>
    <cellStyle name="Normal" xfId="0" builtinId="0"/>
  </cellStyles>
  <dxfs count="59">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fill>
        <patternFill>
          <fgColor indexed="64"/>
          <bgColor theme="0"/>
        </patternFill>
      </fill>
      <alignment horizontal="general" vertical="bottom" textRotation="0" wrapText="0" indent="0" justifyLastLine="0" shrinkToFit="0" readingOrder="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3" formatCode="0%"/>
    </dxf>
    <dxf>
      <numFmt numFmtId="19" formatCode="dd/mm/yy"/>
    </dxf>
    <dxf>
      <font>
        <b/>
        <i val="0"/>
        <strike val="0"/>
        <condense val="0"/>
        <extend val="0"/>
        <outline val="0"/>
        <shadow val="0"/>
        <u val="none"/>
        <vertAlign val="baseline"/>
        <sz val="11"/>
        <color theme="1"/>
        <name val="Calibri"/>
        <scheme val="minor"/>
      </font>
    </dxf>
    <dxf>
      <numFmt numFmtId="19" formatCode="dd/mm/yy"/>
    </dxf>
    <dxf>
      <font>
        <b/>
        <i val="0"/>
        <strike val="0"/>
        <condense val="0"/>
        <extend val="0"/>
        <outline val="0"/>
        <shadow val="0"/>
        <u val="none"/>
        <vertAlign val="baseline"/>
        <sz val="11"/>
        <color theme="1"/>
        <name val="Calibri"/>
        <scheme val="minor"/>
      </font>
    </dxf>
    <dxf>
      <numFmt numFmtId="14" formatCode="0.00%"/>
    </dxf>
    <dxf>
      <numFmt numFmtId="164" formatCode="&quot;$&quot;#,##0.00"/>
    </dxf>
    <dxf>
      <font>
        <b/>
        <i val="0"/>
        <strike val="0"/>
        <condense val="0"/>
        <extend val="0"/>
        <outline val="0"/>
        <shadow val="0"/>
        <u val="none"/>
        <vertAlign val="baseline"/>
        <sz val="11"/>
        <color theme="1"/>
        <name val="Calibri"/>
        <scheme val="minor"/>
      </font>
    </dxf>
    <dxf>
      <numFmt numFmtId="13" formatCode="0%"/>
    </dxf>
    <dxf>
      <numFmt numFmtId="19" formatCode="dd/mm/yy"/>
    </dxf>
    <dxf>
      <font>
        <b/>
        <i val="0"/>
        <strike val="0"/>
        <condense val="0"/>
        <extend val="0"/>
        <outline val="0"/>
        <shadow val="0"/>
        <u val="none"/>
        <vertAlign val="baseline"/>
        <sz val="11"/>
        <color theme="1"/>
        <name val="Calibri"/>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[Sales_analytics_dashboard.xlsx]Dashboard!PivotTable1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Revenue Trend by Month</a:t>
            </a:r>
          </a:p>
        </c:rich>
      </c:tx>
      <c:layout>
        <c:manualLayout>
          <c:xMode val="edge"/>
          <c:yMode val="edge"/>
          <c:x val="4.5718350626732407E-2"/>
          <c:y val="0.164543948135515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Dashboard!$B$10</c:f>
              <c:strCache>
                <c:ptCount val="1"/>
                <c:pt idx="0">
                  <c:v>Total</c:v>
                </c:pt>
              </c:strCache>
            </c:strRef>
          </c:tx>
          <c:spPr>
            <a:ln w="28575" cap="rnd">
              <a:solidFill>
                <a:schemeClr val="accent1"/>
              </a:solidFill>
              <a:round/>
            </a:ln>
            <a:effectLst/>
          </c:spPr>
          <c:marker>
            <c:symbol val="none"/>
          </c:marker>
          <c:cat>
            <c:strRef>
              <c:f>Dashboard!$A$11:$A$14</c:f>
              <c:strCache>
                <c:ptCount val="3"/>
                <c:pt idx="0">
                  <c:v>Feb-24</c:v>
                </c:pt>
                <c:pt idx="1">
                  <c:v>Jan-24</c:v>
                </c:pt>
                <c:pt idx="2">
                  <c:v>Mar-24</c:v>
                </c:pt>
              </c:strCache>
            </c:strRef>
          </c:cat>
          <c:val>
            <c:numRef>
              <c:f>Dashboard!$B$11:$B$14</c:f>
              <c:numCache>
                <c:formatCode>"$"#,##0</c:formatCode>
                <c:ptCount val="3"/>
                <c:pt idx="0">
                  <c:v>3643.1578</c:v>
                </c:pt>
                <c:pt idx="1">
                  <c:v>2627.58</c:v>
                </c:pt>
                <c:pt idx="2">
                  <c:v>1953.9838000000002</c:v>
                </c:pt>
              </c:numCache>
            </c:numRef>
          </c:val>
          <c:smooth val="0"/>
        </c:ser>
        <c:dLbls>
          <c:showLegendKey val="0"/>
          <c:showVal val="0"/>
          <c:showCatName val="0"/>
          <c:showSerName val="0"/>
          <c:showPercent val="0"/>
          <c:showBubbleSize val="0"/>
        </c:dLbls>
        <c:smooth val="0"/>
        <c:axId val="327452480"/>
        <c:axId val="326061872"/>
      </c:lineChart>
      <c:catAx>
        <c:axId val="32745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61872"/>
        <c:crosses val="autoZero"/>
        <c:auto val="1"/>
        <c:lblAlgn val="ctr"/>
        <c:lblOffset val="100"/>
        <c:noMultiLvlLbl val="0"/>
      </c:catAx>
      <c:valAx>
        <c:axId val="32606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5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[Sales_analytics_dashboard.xlsx]Dashboard!PivotTable2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Revenue</a:t>
            </a:r>
            <a:r>
              <a:rPr lang="en-US" b="1" baseline="0">
                <a:solidFill>
                  <a:srgbClr val="00B050"/>
                </a:solidFill>
              </a:rPr>
              <a:t> by Category</a:t>
            </a:r>
            <a:endParaRPr lang="en-US" b="1">
              <a:solidFill>
                <a:srgbClr val="00B050"/>
              </a:solidFill>
            </a:endParaRPr>
          </a:p>
        </c:rich>
      </c:tx>
      <c:layout>
        <c:manualLayout>
          <c:xMode val="edge"/>
          <c:yMode val="edge"/>
          <c:x val="0.3218997943728371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bar"/>
        <c:grouping val="clustered"/>
        <c:varyColors val="0"/>
        <c:ser>
          <c:idx val="0"/>
          <c:order val="0"/>
          <c:tx>
            <c:strRef>
              <c:f>Dashboard!$B$21</c:f>
              <c:strCache>
                <c:ptCount val="1"/>
                <c:pt idx="0">
                  <c:v>Total</c:v>
                </c:pt>
              </c:strCache>
            </c:strRef>
          </c:tx>
          <c:spPr>
            <a:solidFill>
              <a:schemeClr val="accent6"/>
            </a:solidFill>
            <a:ln>
              <a:noFill/>
            </a:ln>
            <a:effectLst/>
          </c:spPr>
          <c:invertIfNegative val="0"/>
          <c:cat>
            <c:strRef>
              <c:f>Dashboard!$A$22:$A$26</c:f>
              <c:strCache>
                <c:ptCount val="4"/>
                <c:pt idx="0">
                  <c:v>Electronics</c:v>
                </c:pt>
                <c:pt idx="1">
                  <c:v>Furniture</c:v>
                </c:pt>
                <c:pt idx="2">
                  <c:v>Home</c:v>
                </c:pt>
                <c:pt idx="3">
                  <c:v>Office Supplies</c:v>
                </c:pt>
              </c:strCache>
            </c:strRef>
          </c:cat>
          <c:val>
            <c:numRef>
              <c:f>Dashboard!$B$22:$B$26</c:f>
              <c:numCache>
                <c:formatCode>"$"#,##0</c:formatCode>
                <c:ptCount val="4"/>
                <c:pt idx="0">
                  <c:v>3871.3279999999995</c:v>
                </c:pt>
                <c:pt idx="1">
                  <c:v>2939.8470000000002</c:v>
                </c:pt>
                <c:pt idx="2">
                  <c:v>1316.5854000000002</c:v>
                </c:pt>
                <c:pt idx="3">
                  <c:v>96.961199999999991</c:v>
                </c:pt>
              </c:numCache>
            </c:numRef>
          </c:val>
        </c:ser>
        <c:dLbls>
          <c:showLegendKey val="0"/>
          <c:showVal val="0"/>
          <c:showCatName val="0"/>
          <c:showSerName val="0"/>
          <c:showPercent val="0"/>
          <c:showBubbleSize val="0"/>
        </c:dLbls>
        <c:gapWidth val="182"/>
        <c:axId val="326060696"/>
        <c:axId val="326058344"/>
      </c:barChart>
      <c:catAx>
        <c:axId val="326060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58344"/>
        <c:crosses val="autoZero"/>
        <c:auto val="1"/>
        <c:lblAlgn val="ctr"/>
        <c:lblOffset val="100"/>
        <c:noMultiLvlLbl val="0"/>
      </c:catAx>
      <c:valAx>
        <c:axId val="3260583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060696"/>
        <c:crosses val="autoZero"/>
        <c:crossBetween val="between"/>
      </c:valAx>
      <c:spPr>
        <a:noFill/>
        <a:ln>
          <a:solidFill>
            <a:srgbClr val="0070C0"/>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66675</xdr:colOff>
      <xdr:row>1</xdr:row>
      <xdr:rowOff>104775</xdr:rowOff>
    </xdr:from>
    <xdr:to>
      <xdr:col>12</xdr:col>
      <xdr:colOff>276224</xdr:colOff>
      <xdr:row>12</xdr:row>
      <xdr:rowOff>38099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12</xdr:row>
      <xdr:rowOff>38100</xdr:rowOff>
    </xdr:from>
    <xdr:to>
      <xdr:col>12</xdr:col>
      <xdr:colOff>285750</xdr:colOff>
      <xdr:row>26</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0</xdr:row>
      <xdr:rowOff>285750</xdr:rowOff>
    </xdr:from>
    <xdr:to>
      <xdr:col>15</xdr:col>
      <xdr:colOff>600075</xdr:colOff>
      <xdr:row>14</xdr:row>
      <xdr:rowOff>0</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63125"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7</xdr:row>
      <xdr:rowOff>142875</xdr:rowOff>
    </xdr:from>
    <xdr:to>
      <xdr:col>15</xdr:col>
      <xdr:colOff>600075</xdr:colOff>
      <xdr:row>21</xdr:row>
      <xdr:rowOff>0</xdr:rowOff>
    </xdr:to>
    <mc:AlternateContent xmlns:mc="http://schemas.openxmlformats.org/markup-compatibility/2006" xmlns:a14="http://schemas.microsoft.com/office/drawing/2010/main">
      <mc:Choice Requires="a14">
        <xdr:graphicFrame macro="">
          <xdr:nvGraphicFramePr>
            <xdr:cNvPr id="14" name="CustomerTier"/>
            <xdr:cNvGraphicFramePr/>
          </xdr:nvGraphicFramePr>
          <xdr:xfrm>
            <a:off x="0" y="0"/>
            <a:ext cx="0" cy="0"/>
          </xdr:xfrm>
          <a:graphic>
            <a:graphicData uri="http://schemas.microsoft.com/office/drawing/2010/slicer">
              <sle:slicer xmlns:sle="http://schemas.microsoft.com/office/drawing/2010/slicer" name="CustomerTier"/>
            </a:graphicData>
          </a:graphic>
        </xdr:graphicFrame>
      </mc:Choice>
      <mc:Fallback xmlns="">
        <xdr:sp macro="" textlink="">
          <xdr:nvSpPr>
            <xdr:cNvPr id="0" name=""/>
            <xdr:cNvSpPr>
              <a:spLocks noTextEdit="1"/>
            </xdr:cNvSpPr>
          </xdr:nvSpPr>
          <xdr:spPr>
            <a:xfrm>
              <a:off x="9763125" y="1619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600075</xdr:colOff>
      <xdr:row>13</xdr:row>
      <xdr:rowOff>104775</xdr:rowOff>
    </xdr:from>
    <xdr:to>
      <xdr:col>15</xdr:col>
      <xdr:colOff>600075</xdr:colOff>
      <xdr:row>26</xdr:row>
      <xdr:rowOff>152400</xdr:rowOff>
    </xdr:to>
    <mc:AlternateContent xmlns:mc="http://schemas.openxmlformats.org/markup-compatibility/2006" xmlns:a14="http://schemas.microsoft.com/office/drawing/2010/main">
      <mc:Choice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63125" y="272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11</xdr:col>
      <xdr:colOff>180975</xdr:colOff>
      <xdr:row>68</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001000"/>
          <a:ext cx="11706225"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GAMUKAMA\Desktop\Sales_analytic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51.764400925924" createdVersion="5" refreshedVersion="5" minRefreshableVersion="3" recordCount="30">
  <cacheSource type="worksheet">
    <worksheetSource name="tbl_Practice" r:id="rId2"/>
  </cacheSource>
  <cacheFields count="21">
    <cacheField name="OrderID" numFmtId="0">
      <sharedItems containsSemiMixedTypes="0" containsString="0" containsNumber="1" containsInteger="1" minValue="1001" maxValue="1030"/>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OrderDate" numFmtId="14">
      <sharedItems containsSemiMixedTypes="0" containsNonDate="0" containsDate="1" containsString="0" minDate="2024-01-05T00:00:00" maxDate="2024-03-21T00:00:00"/>
    </cacheField>
    <cacheField name="Region" numFmtId="0">
      <sharedItems count="4">
        <s v="East"/>
        <s v="West"/>
        <s v="North"/>
        <s v="South"/>
      </sharedItems>
    </cacheField>
    <cacheField name="Discount" numFmtId="9">
      <sharedItems containsSemiMixedTypes="0" containsString="0" containsNumber="1" minValue="0" maxValue="0.25"/>
    </cacheField>
    <cacheField name="Status" numFmtId="0">
      <sharedItems/>
    </cacheField>
    <cacheField name="CustomerName" numFmtId="0">
      <sharedItems/>
    </cacheField>
    <cacheField name="CleanName" numFmtId="0">
      <sharedItems count="8">
        <s v="John Smith"/>
        <s v="Jane Doe"/>
        <s v="Robert Johnson"/>
        <s v="Maria Garcia"/>
        <s v="David Brown"/>
        <s v="Lisa Wilson"/>
        <s v="Michael Lee"/>
        <s v="Sarah Miller"/>
      </sharedItems>
    </cacheField>
    <cacheField name="CustomerTier" numFmtId="0">
      <sharedItems count="3">
        <s v="Gold"/>
        <s v="Silver"/>
        <s v="Bronze"/>
      </sharedItems>
    </cacheField>
    <cacheField name="CustomerCity" numFmtId="0">
      <sharedItems/>
    </cacheField>
    <cacheField name="OrderMonth" numFmtId="0">
      <sharedItems/>
    </cacheField>
    <cacheField name="OrderYear" numFmtId="0">
      <sharedItems containsSemiMixedTypes="0" containsString="0" containsNumber="1" containsInteger="1" minValue="2024" maxValue="2024"/>
    </cacheField>
    <cacheField name="MonthYear" numFmtId="0">
      <sharedItems count="3">
        <s v="Jan-24"/>
        <s v="Feb-24"/>
        <s v="Mar-24"/>
      </sharedItems>
    </cacheField>
    <cacheField name="Quarter" numFmtId="0">
      <sharedItems/>
    </cacheField>
    <cacheField name="UnitPrice" numFmtId="164">
      <sharedItems containsSemiMixedTypes="0" containsString="0" containsNumber="1" minValue="24.99" maxValue="299.99"/>
    </cacheField>
    <cacheField name="Category" numFmtId="164">
      <sharedItems count="4">
        <s v="Electronics"/>
        <s v="Furniture"/>
        <s v="Home"/>
        <s v="Office Supplies"/>
      </sharedItems>
    </cacheField>
    <cacheField name="DiscountValue" numFmtId="2">
      <sharedItems containsSemiMixedTypes="0" containsString="0" containsNumber="1" minValue="0" maxValue="0.25"/>
    </cacheField>
    <cacheField name="Revenue" numFmtId="164">
      <sharedItems containsSemiMixedTypes="0" containsString="0" containsNumber="1" minValue="21.991199999999999" maxValue="1259.9370000000001"/>
    </cacheField>
    <cacheField name="OrderSize" numFmtId="16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n v="1001"/>
    <s v="C001"/>
    <s v="P101"/>
    <n v="2"/>
    <d v="2024-01-05T00:00:00"/>
    <x v="0"/>
    <n v="0.1"/>
    <s v="Delivered"/>
    <s v="John Smith"/>
    <x v="0"/>
    <x v="0"/>
    <s v="New York"/>
    <s v="January"/>
    <n v="2024"/>
    <x v="0"/>
    <s v="Q1-2024"/>
    <n v="29.99"/>
    <x v="0"/>
    <n v="0.1"/>
    <n v="53.981999999999999"/>
    <s v="Standard"/>
  </r>
  <r>
    <n v="1002"/>
    <s v="C002"/>
    <s v="P102"/>
    <n v="1"/>
    <d v="2024-01-07T00:00:00"/>
    <x v="1"/>
    <n v="0"/>
    <s v="Cancelled"/>
    <s v="Jane Doe"/>
    <x v="1"/>
    <x v="1"/>
    <s v="Los Angeles"/>
    <s v="January"/>
    <n v="2024"/>
    <x v="0"/>
    <s v="Q1-2024"/>
    <n v="299.99"/>
    <x v="1"/>
    <n v="0"/>
    <n v="299.99"/>
    <s v="Standard"/>
  </r>
  <r>
    <n v="1003"/>
    <s v="C003"/>
    <s v="P103"/>
    <n v="5"/>
    <d v="2024-01-10T00:00:00"/>
    <x v="2"/>
    <n v="0.15"/>
    <s v="Delivered"/>
    <s v="Robert Johnson"/>
    <x v="2"/>
    <x v="2"/>
    <s v="Chicago"/>
    <s v="January"/>
    <n v="2024"/>
    <x v="0"/>
    <s v="Q1-2024"/>
    <n v="89.99"/>
    <x v="0"/>
    <n v="0.15"/>
    <n v="382.45749999999998"/>
    <s v="Standard"/>
  </r>
  <r>
    <n v="1004"/>
    <s v="C001"/>
    <s v="P104"/>
    <n v="1"/>
    <d v="2024-01-12T00:00:00"/>
    <x v="0"/>
    <n v="0.05"/>
    <s v="Delivered"/>
    <s v="John Smith"/>
    <x v="0"/>
    <x v="0"/>
    <s v="New York"/>
    <s v="January"/>
    <n v="2024"/>
    <x v="0"/>
    <s v="Q1-2024"/>
    <n v="199.99"/>
    <x v="0"/>
    <n v="0.05"/>
    <n v="189.9905"/>
    <s v="Standard"/>
  </r>
  <r>
    <n v="1005"/>
    <s v="C004"/>
    <s v="P105"/>
    <n v="3"/>
    <d v="2024-01-15T00:00:00"/>
    <x v="3"/>
    <n v="0"/>
    <s v="Delivered"/>
    <s v="Maria Garcia"/>
    <x v="3"/>
    <x v="0"/>
    <s v="Houston"/>
    <s v="January"/>
    <n v="2024"/>
    <x v="0"/>
    <s v="Q1-2024"/>
    <n v="39.99"/>
    <x v="2"/>
    <n v="0"/>
    <n v="119.97"/>
    <s v="Standard"/>
  </r>
  <r>
    <n v="1006"/>
    <s v="C005"/>
    <s v="P101"/>
    <n v="10"/>
    <d v="2024-01-18T00:00:00"/>
    <x v="1"/>
    <n v="0.2"/>
    <s v="Delivered"/>
    <s v="David Brown"/>
    <x v="4"/>
    <x v="1"/>
    <s v="Phoenix"/>
    <s v="January"/>
    <n v="2024"/>
    <x v="0"/>
    <s v="Q1-2024"/>
    <n v="29.99"/>
    <x v="0"/>
    <n v="0.2"/>
    <n v="239.92"/>
    <s v="Standard"/>
  </r>
  <r>
    <n v="1007"/>
    <s v="C002"/>
    <s v="P106"/>
    <n v="2"/>
    <d v="2024-01-20T00:00:00"/>
    <x v="2"/>
    <n v="0.1"/>
    <s v="Delivered"/>
    <s v="Jane Doe"/>
    <x v="1"/>
    <x v="1"/>
    <s v="Los Angeles"/>
    <s v="January"/>
    <n v="2024"/>
    <x v="0"/>
    <s v="Q1-2024"/>
    <n v="59.99"/>
    <x v="0"/>
    <n v="0.1"/>
    <n v="107.982"/>
    <s v="Standard"/>
  </r>
  <r>
    <n v="1008"/>
    <s v="C006"/>
    <s v="P107"/>
    <n v="1"/>
    <d v="2024-01-22T00:00:00"/>
    <x v="0"/>
    <n v="0"/>
    <s v="Cancelled"/>
    <s v="Lisa Wilson"/>
    <x v="5"/>
    <x v="2"/>
    <s v="Philadelphia"/>
    <s v="January"/>
    <n v="2024"/>
    <x v="0"/>
    <s v="Q1-2024"/>
    <n v="24.99"/>
    <x v="3"/>
    <n v="0"/>
    <n v="24.99"/>
    <s v="Standard"/>
  </r>
  <r>
    <n v="1009"/>
    <s v="C007"/>
    <s v="P108"/>
    <n v="4"/>
    <d v="2024-01-25T00:00:00"/>
    <x v="3"/>
    <n v="0.18"/>
    <s v="Delivered"/>
    <s v="Michael Lee"/>
    <x v="6"/>
    <x v="0"/>
    <s v="San Antonio"/>
    <s v="January"/>
    <n v="2024"/>
    <x v="0"/>
    <s v="Q1-2024"/>
    <n v="79.989999999999995"/>
    <x v="2"/>
    <n v="0.18"/>
    <n v="262.36720000000003"/>
    <s v="Standard"/>
  </r>
  <r>
    <n v="1010"/>
    <s v="C003"/>
    <s v="P109"/>
    <n v="1"/>
    <d v="2024-01-28T00:00:00"/>
    <x v="1"/>
    <n v="0.08"/>
    <s v="Delivered "/>
    <s v="Robert Johnson"/>
    <x v="2"/>
    <x v="2"/>
    <s v="Chicago"/>
    <s v="January"/>
    <n v="2024"/>
    <x v="0"/>
    <s v="Q1-2024"/>
    <n v="49.99"/>
    <x v="0"/>
    <n v="0.08"/>
    <n v="45.990800000000007"/>
    <s v="Standard"/>
  </r>
  <r>
    <n v="1011"/>
    <s v="C008"/>
    <s v="P110"/>
    <n v="6"/>
    <d v="2024-01-30T00:00:00"/>
    <x v="2"/>
    <n v="0"/>
    <s v="Cancelled"/>
    <s v="Sarah Miller"/>
    <x v="7"/>
    <x v="2"/>
    <s v="San Diego"/>
    <s v="January"/>
    <n v="2024"/>
    <x v="0"/>
    <s v="Q1-2024"/>
    <n v="149.99"/>
    <x v="1"/>
    <n v="0"/>
    <n v="899.94"/>
    <s v="Large"/>
  </r>
  <r>
    <n v="1012"/>
    <s v="C001"/>
    <s v="P102"/>
    <n v="2"/>
    <d v="2024-02-02T00:00:00"/>
    <x v="0"/>
    <n v="0.25"/>
    <s v="Delivered"/>
    <s v="John Smith"/>
    <x v="0"/>
    <x v="0"/>
    <s v="New York"/>
    <s v="February"/>
    <n v="2024"/>
    <x v="1"/>
    <s v="Q1-2024"/>
    <n v="299.99"/>
    <x v="1"/>
    <n v="0.25"/>
    <n v="449.98500000000001"/>
    <s v="Standard"/>
  </r>
  <r>
    <n v="1013"/>
    <s v="C004"/>
    <s v="P103"/>
    <n v="3"/>
    <d v="2024-02-05T00:00:00"/>
    <x v="3"/>
    <n v="0.05"/>
    <s v="Delivered"/>
    <s v="Maria Garcia"/>
    <x v="3"/>
    <x v="0"/>
    <s v="Houston"/>
    <s v="February"/>
    <n v="2024"/>
    <x v="1"/>
    <s v="Q1-2024"/>
    <n v="89.99"/>
    <x v="0"/>
    <n v="0.05"/>
    <n v="256.47149999999993"/>
    <s v="Standard"/>
  </r>
  <r>
    <n v="1014"/>
    <s v="C005"/>
    <s v="P104"/>
    <n v="7"/>
    <d v="2024-02-08T00:00:00"/>
    <x v="1"/>
    <n v="0.1"/>
    <s v="Processing"/>
    <s v="David Brown"/>
    <x v="4"/>
    <x v="1"/>
    <s v="Phoenix"/>
    <s v="February"/>
    <n v="2024"/>
    <x v="1"/>
    <s v="Q1-2024"/>
    <n v="199.99"/>
    <x v="0"/>
    <n v="0.1"/>
    <n v="1259.9370000000001"/>
    <s v="Large"/>
  </r>
  <r>
    <n v="1015"/>
    <s v="C002"/>
    <s v="P105"/>
    <n v="1"/>
    <d v="2024-02-10T00:00:00"/>
    <x v="2"/>
    <n v="0"/>
    <s v="Cancelled"/>
    <s v="Jane Doe"/>
    <x v="1"/>
    <x v="1"/>
    <s v="Los Angeles"/>
    <s v="February"/>
    <n v="2024"/>
    <x v="1"/>
    <s v="Q1-2024"/>
    <n v="39.99"/>
    <x v="2"/>
    <n v="0"/>
    <n v="39.99"/>
    <s v="Standard"/>
  </r>
  <r>
    <n v="1016"/>
    <s v="C006"/>
    <s v="P106"/>
    <n v="3"/>
    <d v="2024-02-12T00:00:00"/>
    <x v="0"/>
    <n v="0.15"/>
    <s v="Delivered"/>
    <s v="Lisa Wilson"/>
    <x v="5"/>
    <x v="2"/>
    <s v="Philadelphia"/>
    <s v="February"/>
    <n v="2024"/>
    <x v="1"/>
    <s v="Q1-2024"/>
    <n v="59.99"/>
    <x v="0"/>
    <n v="0.15"/>
    <n v="152.97450000000001"/>
    <s v="Standard"/>
  </r>
  <r>
    <n v="1017"/>
    <s v="C007"/>
    <s v="P107"/>
    <n v="2"/>
    <d v="2024-02-15T00:00:00"/>
    <x v="3"/>
    <n v="0"/>
    <s v="Delivered"/>
    <s v="Michael Lee"/>
    <x v="6"/>
    <x v="0"/>
    <s v="San Antonio"/>
    <s v="February"/>
    <n v="2024"/>
    <x v="1"/>
    <s v="Q1-2024"/>
    <n v="24.99"/>
    <x v="3"/>
    <n v="0"/>
    <n v="49.98"/>
    <s v="Standard"/>
  </r>
  <r>
    <n v="1018"/>
    <s v="C008"/>
    <s v="P108"/>
    <n v="5"/>
    <d v="2024-02-18T00:00:00"/>
    <x v="1"/>
    <n v="0.1"/>
    <s v="Processing"/>
    <s v="Sarah Miller"/>
    <x v="7"/>
    <x v="2"/>
    <s v="San Diego"/>
    <s v="February"/>
    <n v="2024"/>
    <x v="1"/>
    <s v="Q1-2024"/>
    <n v="79.989999999999995"/>
    <x v="2"/>
    <n v="0.1"/>
    <n v="359.95499999999998"/>
    <s v="Standard"/>
  </r>
  <r>
    <n v="1019"/>
    <s v="C003"/>
    <s v="P109"/>
    <n v="4"/>
    <d v="2024-02-20T00:00:00"/>
    <x v="2"/>
    <n v="0.22"/>
    <s v="Processing"/>
    <s v="Robert Johnson"/>
    <x v="2"/>
    <x v="2"/>
    <s v="Chicago"/>
    <s v="February"/>
    <n v="2024"/>
    <x v="1"/>
    <s v="Q1-2024"/>
    <n v="49.99"/>
    <x v="0"/>
    <n v="0.22"/>
    <n v="155.96880000000002"/>
    <s v="Standard"/>
  </r>
  <r>
    <n v="1020"/>
    <s v="C001"/>
    <s v="P110"/>
    <n v="1"/>
    <d v="2024-02-22T00:00:00"/>
    <x v="0"/>
    <n v="0"/>
    <s v="Delivered"/>
    <s v="John Smith"/>
    <x v="0"/>
    <x v="0"/>
    <s v="New York"/>
    <s v="February"/>
    <n v="2024"/>
    <x v="1"/>
    <s v="Q1-2024"/>
    <n v="149.99"/>
    <x v="1"/>
    <n v="0"/>
    <n v="149.99"/>
    <s v="Standard"/>
  </r>
  <r>
    <n v="1021"/>
    <s v="C004"/>
    <s v="P101"/>
    <n v="8"/>
    <d v="2024-02-25T00:00:00"/>
    <x v="3"/>
    <n v="0.05"/>
    <s v="Delivered"/>
    <s v="Maria Garcia"/>
    <x v="3"/>
    <x v="0"/>
    <s v="Houston"/>
    <s v="February"/>
    <n v="2024"/>
    <x v="1"/>
    <s v="Q1-2024"/>
    <n v="29.99"/>
    <x v="0"/>
    <n v="0.05"/>
    <n v="227.92399999999998"/>
    <s v="Standard"/>
  </r>
  <r>
    <n v="1022"/>
    <s v="C005"/>
    <s v="P102"/>
    <n v="2"/>
    <d v="2024-02-28T00:00:00"/>
    <x v="1"/>
    <n v="0.1"/>
    <s v="Processing"/>
    <s v="David Brown"/>
    <x v="4"/>
    <x v="1"/>
    <s v="Phoenix"/>
    <s v="February"/>
    <n v="2024"/>
    <x v="1"/>
    <s v="Q1-2024"/>
    <n v="299.99"/>
    <x v="1"/>
    <n v="0.1"/>
    <n v="539.98200000000008"/>
    <s v="Large"/>
  </r>
  <r>
    <n v="1023"/>
    <s v="C002"/>
    <s v="P103"/>
    <n v="1"/>
    <d v="2024-03-01T00:00:00"/>
    <x v="2"/>
    <n v="0.18"/>
    <s v="Delivered"/>
    <s v="Jane Doe"/>
    <x v="1"/>
    <x v="1"/>
    <s v="Los Angeles"/>
    <s v="March"/>
    <n v="2024"/>
    <x v="2"/>
    <s v="Q1-2024"/>
    <n v="89.99"/>
    <x v="0"/>
    <n v="0.18"/>
    <n v="73.791799999999995"/>
    <s v="Standard"/>
  </r>
  <r>
    <n v="1024"/>
    <s v="C006"/>
    <s v="P104"/>
    <n v="3"/>
    <d v="2024-03-05T00:00:00"/>
    <x v="0"/>
    <n v="0.12"/>
    <s v="Processing"/>
    <s v="Lisa Wilson"/>
    <x v="5"/>
    <x v="2"/>
    <s v="Philadelphia"/>
    <s v="March"/>
    <n v="2024"/>
    <x v="2"/>
    <s v="Q1-2024"/>
    <n v="199.99"/>
    <x v="0"/>
    <n v="0.12"/>
    <n v="527.97360000000003"/>
    <s v="Large"/>
  </r>
  <r>
    <n v="1025"/>
    <s v="C007"/>
    <s v="P105"/>
    <n v="6"/>
    <d v="2024-03-08T00:00:00"/>
    <x v="3"/>
    <n v="0"/>
    <s v="Delivered"/>
    <s v="Michael Lee"/>
    <x v="6"/>
    <x v="0"/>
    <s v="San Antonio"/>
    <s v="March"/>
    <n v="2024"/>
    <x v="2"/>
    <s v="Q1-2024"/>
    <n v="39.99"/>
    <x v="2"/>
    <n v="0"/>
    <n v="239.94"/>
    <s v="Standard"/>
  </r>
  <r>
    <n v="1026"/>
    <s v="C008"/>
    <s v="P106"/>
    <n v="2"/>
    <d v="2024-03-10T00:00:00"/>
    <x v="1"/>
    <n v="0.2"/>
    <s v="Delivered"/>
    <s v="Sarah Miller"/>
    <x v="7"/>
    <x v="2"/>
    <s v="San Diego"/>
    <s v="March"/>
    <n v="2024"/>
    <x v="2"/>
    <s v="Q1-2024"/>
    <n v="59.99"/>
    <x v="0"/>
    <n v="0.2"/>
    <n v="95.984000000000009"/>
    <s v="Standard"/>
  </r>
  <r>
    <n v="1027"/>
    <s v="C003"/>
    <s v="P107"/>
    <n v="1"/>
    <d v="2024-03-12T00:00:00"/>
    <x v="2"/>
    <n v="0.12"/>
    <s v="Processing"/>
    <s v="Robert Johnson"/>
    <x v="2"/>
    <x v="2"/>
    <s v="Chicago"/>
    <s v="March"/>
    <n v="2024"/>
    <x v="2"/>
    <s v="Q1-2024"/>
    <n v="24.99"/>
    <x v="3"/>
    <n v="0.12"/>
    <n v="21.991199999999999"/>
    <s v="Standard"/>
  </r>
  <r>
    <n v="1028"/>
    <s v="C001"/>
    <s v="P108"/>
    <n v="4"/>
    <d v="2024-03-15T00:00:00"/>
    <x v="0"/>
    <n v="0.08"/>
    <s v="Processing"/>
    <s v="John Smith"/>
    <x v="0"/>
    <x v="0"/>
    <s v="New York"/>
    <s v="March"/>
    <n v="2024"/>
    <x v="2"/>
    <s v="Q1-2024"/>
    <n v="79.989999999999995"/>
    <x v="2"/>
    <n v="0.08"/>
    <n v="294.36320000000001"/>
    <s v="Standard"/>
  </r>
  <r>
    <n v="1029"/>
    <s v="C004"/>
    <s v="P109"/>
    <n v="2"/>
    <d v="2024-03-18T00:00:00"/>
    <x v="3"/>
    <n v="0"/>
    <s v="Delivered"/>
    <s v="Maria Garcia"/>
    <x v="3"/>
    <x v="0"/>
    <s v="Houston"/>
    <s v="March"/>
    <n v="2024"/>
    <x v="2"/>
    <s v="Q1-2024"/>
    <n v="49.99"/>
    <x v="0"/>
    <n v="0"/>
    <n v="99.98"/>
    <s v="Standard"/>
  </r>
  <r>
    <n v="1030"/>
    <s v="C005"/>
    <s v="P110"/>
    <n v="5"/>
    <d v="2024-03-20T00:00:00"/>
    <x v="1"/>
    <n v="0.2"/>
    <s v="Delivered"/>
    <s v="David Brown"/>
    <x v="4"/>
    <x v="1"/>
    <s v="Phoenix"/>
    <s v="March"/>
    <n v="2024"/>
    <x v="2"/>
    <s v="Q1-2024"/>
    <n v="149.99"/>
    <x v="1"/>
    <n v="0.2"/>
    <n v="599.96"/>
    <s v="Lar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33:M50" firstHeaderRow="1" firstDataRow="1" firstDataCol="0"/>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showAll="0"/>
    <pivotField showAll="0"/>
    <pivotField numFmtId="164" showAll="0"/>
    <pivotField showAll="0"/>
    <pivotField numFmtId="2" showAll="0"/>
    <pivotField numFmtId="164"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1:B26"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showAll="0"/>
    <pivotField showAll="0"/>
    <pivotField numFmtId="164" showAll="0"/>
    <pivotField axis="axisRow" showAll="0">
      <items count="5">
        <item x="0"/>
        <item x="1"/>
        <item x="2"/>
        <item x="3"/>
        <item t="default"/>
      </items>
    </pivotField>
    <pivotField numFmtId="2" showAll="0"/>
    <pivotField dataField="1" numFmtId="164" showAll="0"/>
    <pivotField showAll="0"/>
  </pivotFields>
  <rowFields count="1">
    <field x="17"/>
  </rowFields>
  <rowItems count="5">
    <i>
      <x/>
    </i>
    <i>
      <x v="1"/>
    </i>
    <i>
      <x v="2"/>
    </i>
    <i>
      <x v="3"/>
    </i>
    <i t="grand">
      <x/>
    </i>
  </rowItems>
  <colItems count="1">
    <i/>
  </colItems>
  <dataFields count="1">
    <dataField name="Sum of Revenue" fld="19" baseField="0" baseItem="0" numFmtId="165"/>
  </dataFields>
  <formats count="2">
    <format dxfId="35">
      <pivotArea outline="0" collapsedLevelsAreSubtotals="1" fieldPosition="0"/>
    </format>
    <format dxfId="34">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0:B14"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showAll="0"/>
    <pivotField showAll="0">
      <items count="4">
        <item x="2"/>
        <item x="0"/>
        <item x="1"/>
        <item t="default"/>
      </items>
    </pivotField>
    <pivotField showAll="0"/>
    <pivotField showAll="0"/>
    <pivotField showAll="0"/>
    <pivotField axis="axisRow" showAll="0">
      <items count="4">
        <item x="1"/>
        <item x="0"/>
        <item x="2"/>
        <item t="default"/>
      </items>
    </pivotField>
    <pivotField showAll="0"/>
    <pivotField numFmtId="164" showAll="0"/>
    <pivotField showAll="0">
      <items count="5">
        <item x="0"/>
        <item x="1"/>
        <item x="2"/>
        <item x="3"/>
        <item t="default"/>
      </items>
    </pivotField>
    <pivotField numFmtId="2" showAll="0"/>
    <pivotField dataField="1" numFmtId="164" showAll="0"/>
    <pivotField showAll="0"/>
  </pivotFields>
  <rowFields count="1">
    <field x="14"/>
  </rowFields>
  <rowItems count="4">
    <i>
      <x/>
    </i>
    <i>
      <x v="1"/>
    </i>
    <i>
      <x v="2"/>
    </i>
    <i t="grand">
      <x/>
    </i>
  </rowItems>
  <colItems count="1">
    <i/>
  </colItems>
  <dataFields count="1">
    <dataField name="Sum of Revenue" fld="19" baseField="0" baseItem="0" numFmtId="165"/>
  </dataFields>
  <formats count="2">
    <format dxfId="37">
      <pivotArea outline="0" collapsedLevelsAreSubtotals="1" fieldPosition="0"/>
    </format>
    <format dxfId="3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ustomer">
  <location ref="D20:E26" firstHeaderRow="1" firstDataRow="1" firstDataCol="1"/>
  <pivotFields count="21">
    <pivotField showAll="0"/>
    <pivotField showAll="0"/>
    <pivotField showAll="0"/>
    <pivotField showAll="0"/>
    <pivotField numFmtId="14" showAll="0"/>
    <pivotField showAll="0">
      <items count="5">
        <item x="0"/>
        <item x="2"/>
        <item x="3"/>
        <item x="1"/>
        <item t="default"/>
      </items>
    </pivotField>
    <pivotField numFmtId="9" showAll="0"/>
    <pivotField showAll="0"/>
    <pivotField showAll="0"/>
    <pivotField axis="axisRow" showAll="0" measureFilter="1" sortType="descending">
      <items count="9">
        <item x="7"/>
        <item x="2"/>
        <item x="6"/>
        <item x="3"/>
        <item x="5"/>
        <item x="0"/>
        <item x="1"/>
        <item x="4"/>
        <item t="default"/>
      </items>
    </pivotField>
    <pivotField showAll="0">
      <items count="4">
        <item x="2"/>
        <item x="0"/>
        <item x="1"/>
        <item t="default"/>
      </items>
    </pivotField>
    <pivotField showAll="0"/>
    <pivotField showAll="0"/>
    <pivotField showAll="0"/>
    <pivotField showAll="0"/>
    <pivotField showAll="0"/>
    <pivotField numFmtId="164" showAll="0"/>
    <pivotField showAll="0"/>
    <pivotField numFmtId="2" showAll="0"/>
    <pivotField dataField="1" numFmtId="164" showAll="0"/>
    <pivotField showAll="0"/>
  </pivotFields>
  <rowFields count="1">
    <field x="9"/>
  </rowFields>
  <rowItems count="6">
    <i>
      <x/>
    </i>
    <i>
      <x v="3"/>
    </i>
    <i>
      <x v="4"/>
    </i>
    <i>
      <x v="5"/>
    </i>
    <i>
      <x v="7"/>
    </i>
    <i t="grand">
      <x/>
    </i>
  </rowItems>
  <colItems count="1">
    <i/>
  </colItems>
  <dataFields count="1">
    <dataField name="Total Revenue" fld="19" baseField="0" baseItem="0" numFmtId="165"/>
  </dataFields>
  <formats count="2">
    <format dxfId="39">
      <pivotArea outline="0" collapsedLevelsAreSubtotals="1" fieldPosition="0"/>
    </format>
    <format dxfId="38">
      <pivotArea dataOnly="0" labelOnly="1" outline="0" axis="axisValues" fieldPosition="0"/>
    </format>
  </formats>
  <pivotTableStyleInfo name="PivotStyleMedium9"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1"/>
    <pivotTable tabId="9" name="PivotTable2"/>
    <pivotTable tabId="9" name="PivotTable3"/>
    <pivotTable tabId="7" name="PivotTable1"/>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Tier" sourceName="CustomerTier">
  <pivotTables>
    <pivotTable tabId="9" name="PivotTable1"/>
    <pivotTable tabId="9" name="PivotTable2"/>
    <pivotTable tabId="9" name="PivotTable3"/>
    <pivotTable tabId="7" name="PivotTable1"/>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1"/>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ustomerTier" cache="Slicer_CustomerTier" caption="CustomerTier" rowHeight="241300"/>
  <slicer name="Category" cache="Slicer_Category" caption="Category" rowHeight="241300"/>
</slicers>
</file>

<file path=xl/tables/table1.xml><?xml version="1.0" encoding="utf-8"?>
<table xmlns="http://schemas.openxmlformats.org/spreadsheetml/2006/main" id="3" name="tbl_Orders" displayName="tbl_Orders" ref="A1:J31" totalsRowShown="0" headerRowDxfId="58">
  <autoFilter ref="A1:J31"/>
  <tableColumns count="10">
    <tableColumn id="1" name="OrderID"/>
    <tableColumn id="2" name="CustomerID"/>
    <tableColumn id="3" name="ProductID"/>
    <tableColumn id="4" name="Quantity"/>
    <tableColumn id="5" name="OrderDate" dataDxfId="57"/>
    <tableColumn id="6" name="Region"/>
    <tableColumn id="7" name="Discount" dataDxfId="56"/>
    <tableColumn id="8" name="Status"/>
    <tableColumn id="9" name="CleanRegion" dataDxfId="27">
      <calculatedColumnFormula>PROPER(tbl_Orders[[#This Row],[Region]])</calculatedColumnFormula>
    </tableColumn>
    <tableColumn id="10" name="CleanStatus" dataDxfId="26">
      <calculatedColumnFormula>PROPER(tbl_Orders[[#This Row],[Status]])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_Products" displayName="tbl_Products" ref="A1:G11" totalsRowShown="0" headerRowDxfId="55">
  <autoFilter ref="A1:G11"/>
  <tableColumns count="7">
    <tableColumn id="1" name="ProductID"/>
    <tableColumn id="2" name="ProductName"/>
    <tableColumn id="3" name="Category"/>
    <tableColumn id="4" name="UnitPrice" dataDxfId="54" dataCellStyle="Currency"/>
    <tableColumn id="5" name="Cost"/>
    <tableColumn id="6" name="Supplier"/>
    <tableColumn id="7" name="ProductMargin" dataDxfId="53"/>
  </tableColumns>
  <tableStyleInfo name="TableStyleMedium2" showFirstColumn="0" showLastColumn="0" showRowStripes="1" showColumnStripes="0"/>
</table>
</file>

<file path=xl/tables/table3.xml><?xml version="1.0" encoding="utf-8"?>
<table xmlns="http://schemas.openxmlformats.org/spreadsheetml/2006/main" id="2" name="tbl_Customer" displayName="tbl_Customer" ref="A1:G9" totalsRowShown="0" headerRowDxfId="52">
  <autoFilter ref="A1:G9"/>
  <tableColumns count="7">
    <tableColumn id="1" name="CustomerID"/>
    <tableColumn id="2" name="CustomerName"/>
    <tableColumn id="3" name="JoinDate" dataDxfId="51"/>
    <tableColumn id="4" name="Tier"/>
    <tableColumn id="5" name="Email" dataCellStyle="Hyperlink"/>
    <tableColumn id="6" name="City"/>
    <tableColumn id="7" name="State"/>
  </tableColumns>
  <tableStyleInfo name="TableStyleMedium2" showFirstColumn="0" showLastColumn="0" showRowStripes="1" showColumnStripes="0"/>
</table>
</file>

<file path=xl/tables/table4.xml><?xml version="1.0" encoding="utf-8"?>
<table xmlns="http://schemas.openxmlformats.org/spreadsheetml/2006/main" id="5" name="tbl_Practice" displayName="tbl_Practice" ref="A1:V31" totalsRowShown="0" headerRowDxfId="50">
  <autoFilter ref="A1:V31"/>
  <tableColumns count="22">
    <tableColumn id="1" name="OrderID"/>
    <tableColumn id="2" name="CustomerID"/>
    <tableColumn id="3" name="ProductID"/>
    <tableColumn id="4" name="Quantity"/>
    <tableColumn id="5" name="OrderDate" dataDxfId="49"/>
    <tableColumn id="6" name="Region"/>
    <tableColumn id="7" name="Discount" dataDxfId="48"/>
    <tableColumn id="8" name="Status"/>
    <tableColumn id="18" name="CustomerName" dataDxfId="25">
      <calculatedColumnFormula>IFERROR(VLOOKUP(tbl_Practice[[#This Row],[CustomerID]],Customers!$A:$G,2,FALSE),"Unknown")</calculatedColumnFormula>
    </tableColumn>
    <tableColumn id="19" name="CleanName" dataDxfId="47">
      <calculatedColumnFormula>TRIM(PROPER(tbl_Practice[[#This Row],[CustomerName]]))</calculatedColumnFormula>
    </tableColumn>
    <tableColumn id="20" name="CustomerTier" dataDxfId="24">
      <calculatedColumnFormula>IFERROR(VLOOKUP(tbl_Practice[[#This Row],[CustomerID]],Customers!$A:$G,4,FALSE),"Unknown")</calculatedColumnFormula>
    </tableColumn>
    <tableColumn id="21" name="CustomerCity" dataDxfId="23">
      <calculatedColumnFormula>IFERROR(VLOOKUP(tbl_Practice[[#This Row],[CustomerID]],Customers!$A:$G,6,FALSE),"Unknown")</calculatedColumnFormula>
    </tableColumn>
    <tableColumn id="9" name="OrderMonth" dataDxfId="46">
      <calculatedColumnFormula>TEXT(tbl_Practice[[#This Row],[OrderDate]],"mmmm")</calculatedColumnFormula>
    </tableColumn>
    <tableColumn id="10" name="OrderYear" dataDxfId="45">
      <calculatedColumnFormula>YEAR(tbl_Practice[[#This Row],[OrderDate]])</calculatedColumnFormula>
    </tableColumn>
    <tableColumn id="11" name="MonthYear" dataDxfId="44">
      <calculatedColumnFormula>TEXT(tbl_Practice[[#This Row],[OrderDate]],"mmm-yy")</calculatedColumnFormula>
    </tableColumn>
    <tableColumn id="12" name="Quarter" dataDxfId="43">
      <calculatedColumnFormula>"Q"&amp;INT((MONTH(tbl_Practice[[#This Row],[OrderDate]])-1)/3)+1&amp;"-"&amp;YEAR(tbl_Practice[[#This Row],[OrderDate]])</calculatedColumnFormula>
    </tableColumn>
    <tableColumn id="13" name="UnitPrice" dataDxfId="22">
      <calculatedColumnFormula>IFERROR(VLOOKUP(tbl_Practice[[#This Row],[ProductID]],Products!$A:$G,4,FALSE),0)</calculatedColumnFormula>
    </tableColumn>
    <tableColumn id="17" name="Category" dataDxfId="21">
      <calculatedColumnFormula>IFERROR(VLOOKUP(tbl_Practice[[#This Row],[ProductID]],Products!$A:$G,3,FALSE),"Unknown")</calculatedColumnFormula>
    </tableColumn>
    <tableColumn id="15" name="DiscountValue" dataDxfId="42">
      <calculatedColumnFormula>VALUE(SUBSTITUTE(tbl_Practice[[#This Row],[Discount]], "%", ""))</calculatedColumnFormula>
    </tableColumn>
    <tableColumn id="16" name="Revenue" dataDxfId="41">
      <calculatedColumnFormula>tbl_Practice[[#This Row],[Quantity]]*tbl_Practice[[#This Row],[UnitPrice]]*(1-tbl_Practice[[#This Row],[DiscountValue]])</calculatedColumnFormula>
    </tableColumn>
    <tableColumn id="22" name="OrderSize" dataDxfId="40">
      <calculatedColumnFormula>IF(tbl_Practice[[#This Row],[Revenue]]&gt;500,"Large","Standard")</calculatedColumnFormula>
    </tableColumn>
    <tableColumn id="14" name="Profit" dataDxfId="20">
      <calculatedColumnFormula>(tbl_Practice[[#This Row],[UnitPrice]]-IFERROR(VLOOKUP(tbl_Practice[[#This Row],[ProductID]],Products!$A:$G,5,FALSE),0))*tbl_Practice[[#This Row],[Quantity]]*(1-tbl_Practice[[#This Row],[DiscountValue]])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7" name="Table7" displayName="Table7" ref="A15:D20" totalsRowShown="0" headerRowDxfId="33" dataDxfId="32">
  <autoFilter ref="A15:D20"/>
  <tableColumns count="4">
    <tableColumn id="1" name="Table Name" dataDxfId="31"/>
    <tableColumn id="2" name="Column" dataDxfId="30"/>
    <tableColumn id="3" name="Description" dataDxfId="29"/>
    <tableColumn id="4" name="Sample Value" dataDxfId="28"/>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sarah@email.com" TargetMode="External"/><Relationship Id="rId3" Type="http://schemas.openxmlformats.org/officeDocument/2006/relationships/hyperlink" Target="mailto:maria@email.com" TargetMode="External"/><Relationship Id="rId7" Type="http://schemas.openxmlformats.org/officeDocument/2006/relationships/hyperlink" Target="mailto:michael@email.com" TargetMode="External"/><Relationship Id="rId2" Type="http://schemas.openxmlformats.org/officeDocument/2006/relationships/hyperlink" Target="mailto:jane@email.com" TargetMode="External"/><Relationship Id="rId1" Type="http://schemas.openxmlformats.org/officeDocument/2006/relationships/hyperlink" Target="mailto:john@email.com" TargetMode="External"/><Relationship Id="rId6" Type="http://schemas.openxmlformats.org/officeDocument/2006/relationships/hyperlink" Target="mailto:robert@email.com" TargetMode="External"/><Relationship Id="rId5" Type="http://schemas.openxmlformats.org/officeDocument/2006/relationships/hyperlink" Target="mailto:lisa@email.com" TargetMode="External"/><Relationship Id="rId10" Type="http://schemas.openxmlformats.org/officeDocument/2006/relationships/table" Target="../tables/table3.xml"/><Relationship Id="rId4" Type="http://schemas.openxmlformats.org/officeDocument/2006/relationships/hyperlink" Target="mailto:david@email.com"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selection activeCell="K5" sqref="K5"/>
    </sheetView>
  </sheetViews>
  <sheetFormatPr defaultRowHeight="15" x14ac:dyDescent="0.25"/>
  <cols>
    <col min="1" max="1" width="11.140625" customWidth="1"/>
    <col min="2" max="2" width="13.5703125" customWidth="1"/>
    <col min="3" max="3" width="12.140625" customWidth="1"/>
    <col min="4" max="4" width="11.7109375" customWidth="1"/>
    <col min="5" max="5" width="12.42578125" customWidth="1"/>
    <col min="6" max="6" width="12.140625" customWidth="1"/>
    <col min="7" max="7" width="11.28515625" customWidth="1"/>
    <col min="8" max="8" width="11.85546875" customWidth="1"/>
    <col min="9" max="9" width="15.28515625" customWidth="1"/>
    <col min="10" max="10" width="14.28515625" customWidth="1"/>
  </cols>
  <sheetData>
    <row r="1" spans="1:10" s="1" customFormat="1" x14ac:dyDescent="0.25">
      <c r="A1" s="1" t="s">
        <v>0</v>
      </c>
      <c r="B1" s="1" t="s">
        <v>1</v>
      </c>
      <c r="C1" s="1" t="s">
        <v>2</v>
      </c>
      <c r="D1" s="1" t="s">
        <v>3</v>
      </c>
      <c r="E1" s="1" t="s">
        <v>4</v>
      </c>
      <c r="F1" s="1" t="s">
        <v>5</v>
      </c>
      <c r="G1" s="1" t="s">
        <v>6</v>
      </c>
      <c r="H1" s="1" t="s">
        <v>7</v>
      </c>
      <c r="I1" s="6" t="s">
        <v>175</v>
      </c>
      <c r="J1" s="6" t="s">
        <v>176</v>
      </c>
    </row>
    <row r="2" spans="1:10" x14ac:dyDescent="0.25">
      <c r="A2">
        <v>1001</v>
      </c>
      <c r="B2" t="s">
        <v>8</v>
      </c>
      <c r="C2" t="s">
        <v>16</v>
      </c>
      <c r="D2">
        <v>2</v>
      </c>
      <c r="E2" s="2">
        <v>45296</v>
      </c>
      <c r="F2" t="s">
        <v>26</v>
      </c>
      <c r="G2" s="3">
        <v>0.1</v>
      </c>
      <c r="H2" t="s">
        <v>31</v>
      </c>
      <c r="I2" t="str">
        <f>PROPER(tbl_Orders[[#This Row],[Region]])</f>
        <v>East</v>
      </c>
      <c r="J2" t="str">
        <f>PROPER(tbl_Orders[[#This Row],[Status]])</f>
        <v>Delivered</v>
      </c>
    </row>
    <row r="3" spans="1:10" x14ac:dyDescent="0.25">
      <c r="A3">
        <v>1002</v>
      </c>
      <c r="B3" t="s">
        <v>9</v>
      </c>
      <c r="C3" t="s">
        <v>17</v>
      </c>
      <c r="D3">
        <v>1</v>
      </c>
      <c r="E3" s="2">
        <v>45298</v>
      </c>
      <c r="F3" t="s">
        <v>27</v>
      </c>
      <c r="G3" s="3">
        <v>0</v>
      </c>
      <c r="H3" t="s">
        <v>32</v>
      </c>
      <c r="I3" t="str">
        <f>PROPER(tbl_Orders[[#This Row],[Region]])</f>
        <v>West</v>
      </c>
      <c r="J3" t="str">
        <f>PROPER(tbl_Orders[[#This Row],[Status]])</f>
        <v>Cancelled</v>
      </c>
    </row>
    <row r="4" spans="1:10" x14ac:dyDescent="0.25">
      <c r="A4">
        <v>1003</v>
      </c>
      <c r="B4" t="s">
        <v>10</v>
      </c>
      <c r="C4" t="s">
        <v>18</v>
      </c>
      <c r="D4">
        <v>5</v>
      </c>
      <c r="E4" s="2">
        <v>45301</v>
      </c>
      <c r="F4" t="s">
        <v>28</v>
      </c>
      <c r="G4" s="3">
        <v>0.15</v>
      </c>
      <c r="H4" t="s">
        <v>31</v>
      </c>
      <c r="I4" t="str">
        <f>PROPER(tbl_Orders[[#This Row],[Region]])</f>
        <v>North</v>
      </c>
      <c r="J4" t="str">
        <f>PROPER(tbl_Orders[[#This Row],[Status]])</f>
        <v>Delivered</v>
      </c>
    </row>
    <row r="5" spans="1:10" x14ac:dyDescent="0.25">
      <c r="A5">
        <v>1004</v>
      </c>
      <c r="B5" t="s">
        <v>8</v>
      </c>
      <c r="C5" t="s">
        <v>19</v>
      </c>
      <c r="D5">
        <v>1</v>
      </c>
      <c r="E5" s="2">
        <v>45303</v>
      </c>
      <c r="F5" t="s">
        <v>26</v>
      </c>
      <c r="G5" s="3">
        <v>0.05</v>
      </c>
      <c r="H5" t="s">
        <v>31</v>
      </c>
      <c r="I5" t="str">
        <f>PROPER(tbl_Orders[[#This Row],[Region]])</f>
        <v>East</v>
      </c>
      <c r="J5" t="str">
        <f>PROPER(tbl_Orders[[#This Row],[Status]])</f>
        <v>Delivered</v>
      </c>
    </row>
    <row r="6" spans="1:10" x14ac:dyDescent="0.25">
      <c r="A6">
        <v>1005</v>
      </c>
      <c r="B6" t="s">
        <v>11</v>
      </c>
      <c r="C6" t="s">
        <v>20</v>
      </c>
      <c r="D6">
        <v>3</v>
      </c>
      <c r="E6" s="2">
        <v>45306</v>
      </c>
      <c r="F6" t="s">
        <v>29</v>
      </c>
      <c r="G6" s="3">
        <v>0</v>
      </c>
      <c r="H6" t="s">
        <v>31</v>
      </c>
      <c r="I6" t="str">
        <f>PROPER(tbl_Orders[[#This Row],[Region]])</f>
        <v>South</v>
      </c>
      <c r="J6" t="str">
        <f>PROPER(tbl_Orders[[#This Row],[Status]])</f>
        <v>Delivered</v>
      </c>
    </row>
    <row r="7" spans="1:10" x14ac:dyDescent="0.25">
      <c r="A7">
        <v>1006</v>
      </c>
      <c r="B7" t="s">
        <v>12</v>
      </c>
      <c r="C7" t="s">
        <v>16</v>
      </c>
      <c r="D7">
        <v>10</v>
      </c>
      <c r="E7" s="2">
        <v>45309</v>
      </c>
      <c r="F7" t="s">
        <v>27</v>
      </c>
      <c r="G7" s="3">
        <v>0.2</v>
      </c>
      <c r="H7" t="s">
        <v>31</v>
      </c>
      <c r="I7" t="str">
        <f>PROPER(tbl_Orders[[#This Row],[Region]])</f>
        <v>West</v>
      </c>
      <c r="J7" t="str">
        <f>PROPER(tbl_Orders[[#This Row],[Status]])</f>
        <v>Delivered</v>
      </c>
    </row>
    <row r="8" spans="1:10" x14ac:dyDescent="0.25">
      <c r="A8">
        <v>1007</v>
      </c>
      <c r="B8" t="s">
        <v>9</v>
      </c>
      <c r="C8" t="s">
        <v>21</v>
      </c>
      <c r="D8">
        <v>2</v>
      </c>
      <c r="E8" s="2">
        <v>45311</v>
      </c>
      <c r="F8" t="s">
        <v>28</v>
      </c>
      <c r="G8" s="3">
        <v>0.1</v>
      </c>
      <c r="H8" t="s">
        <v>31</v>
      </c>
      <c r="I8" t="str">
        <f>PROPER(tbl_Orders[[#This Row],[Region]])</f>
        <v>North</v>
      </c>
      <c r="J8" t="str">
        <f>PROPER(tbl_Orders[[#This Row],[Status]])</f>
        <v>Delivered</v>
      </c>
    </row>
    <row r="9" spans="1:10" x14ac:dyDescent="0.25">
      <c r="A9">
        <v>1008</v>
      </c>
      <c r="B9" t="s">
        <v>13</v>
      </c>
      <c r="C9" t="s">
        <v>22</v>
      </c>
      <c r="D9">
        <v>1</v>
      </c>
      <c r="E9" s="2">
        <v>45313</v>
      </c>
      <c r="F9" t="s">
        <v>26</v>
      </c>
      <c r="G9" s="3">
        <v>0</v>
      </c>
      <c r="H9" t="s">
        <v>32</v>
      </c>
      <c r="I9" t="str">
        <f>PROPER(tbl_Orders[[#This Row],[Region]])</f>
        <v>East</v>
      </c>
      <c r="J9" t="str">
        <f>PROPER(tbl_Orders[[#This Row],[Status]])</f>
        <v>Cancelled</v>
      </c>
    </row>
    <row r="10" spans="1:10" x14ac:dyDescent="0.25">
      <c r="A10">
        <v>1009</v>
      </c>
      <c r="B10" t="s">
        <v>14</v>
      </c>
      <c r="C10" t="s">
        <v>23</v>
      </c>
      <c r="D10">
        <v>4</v>
      </c>
      <c r="E10" s="2">
        <v>45316</v>
      </c>
      <c r="F10" t="s">
        <v>29</v>
      </c>
      <c r="G10" s="3">
        <v>0.18</v>
      </c>
      <c r="H10" t="s">
        <v>31</v>
      </c>
      <c r="I10" t="str">
        <f>PROPER(tbl_Orders[[#This Row],[Region]])</f>
        <v>South</v>
      </c>
      <c r="J10" t="str">
        <f>PROPER(tbl_Orders[[#This Row],[Status]])</f>
        <v>Delivered</v>
      </c>
    </row>
    <row r="11" spans="1:10" x14ac:dyDescent="0.25">
      <c r="A11">
        <v>1010</v>
      </c>
      <c r="B11" t="s">
        <v>10</v>
      </c>
      <c r="C11" t="s">
        <v>24</v>
      </c>
      <c r="D11">
        <v>1</v>
      </c>
      <c r="E11" s="2">
        <v>45319</v>
      </c>
      <c r="F11" t="s">
        <v>27</v>
      </c>
      <c r="G11" s="3">
        <v>0.08</v>
      </c>
      <c r="H11" t="s">
        <v>34</v>
      </c>
      <c r="I11" t="str">
        <f>PROPER(tbl_Orders[[#This Row],[Region]])</f>
        <v>West</v>
      </c>
      <c r="J11" t="str">
        <f>PROPER(tbl_Orders[[#This Row],[Status]])</f>
        <v xml:space="preserve">Delivered </v>
      </c>
    </row>
    <row r="12" spans="1:10" x14ac:dyDescent="0.25">
      <c r="A12">
        <v>1011</v>
      </c>
      <c r="B12" t="s">
        <v>15</v>
      </c>
      <c r="C12" t="s">
        <v>25</v>
      </c>
      <c r="D12">
        <v>6</v>
      </c>
      <c r="E12" s="2">
        <v>45321</v>
      </c>
      <c r="F12" t="s">
        <v>28</v>
      </c>
      <c r="G12" s="3">
        <v>0</v>
      </c>
      <c r="H12" t="s">
        <v>32</v>
      </c>
      <c r="I12" t="str">
        <f>PROPER(tbl_Orders[[#This Row],[Region]])</f>
        <v>North</v>
      </c>
      <c r="J12" t="str">
        <f>PROPER(tbl_Orders[[#This Row],[Status]])</f>
        <v>Cancelled</v>
      </c>
    </row>
    <row r="13" spans="1:10" x14ac:dyDescent="0.25">
      <c r="A13">
        <v>1012</v>
      </c>
      <c r="B13" t="s">
        <v>8</v>
      </c>
      <c r="C13" t="s">
        <v>17</v>
      </c>
      <c r="D13">
        <v>2</v>
      </c>
      <c r="E13" s="2">
        <v>45324</v>
      </c>
      <c r="F13" t="s">
        <v>26</v>
      </c>
      <c r="G13" s="3">
        <v>0.25</v>
      </c>
      <c r="H13" t="s">
        <v>31</v>
      </c>
      <c r="I13" t="str">
        <f>PROPER(tbl_Orders[[#This Row],[Region]])</f>
        <v>East</v>
      </c>
      <c r="J13" t="str">
        <f>PROPER(tbl_Orders[[#This Row],[Status]])</f>
        <v>Delivered</v>
      </c>
    </row>
    <row r="14" spans="1:10" x14ac:dyDescent="0.25">
      <c r="A14">
        <v>1013</v>
      </c>
      <c r="B14" t="s">
        <v>11</v>
      </c>
      <c r="C14" t="s">
        <v>18</v>
      </c>
      <c r="D14">
        <v>3</v>
      </c>
      <c r="E14" s="2">
        <v>45327</v>
      </c>
      <c r="F14" t="s">
        <v>29</v>
      </c>
      <c r="G14" s="3">
        <v>0.05</v>
      </c>
      <c r="H14" t="s">
        <v>31</v>
      </c>
      <c r="I14" t="str">
        <f>PROPER(tbl_Orders[[#This Row],[Region]])</f>
        <v>South</v>
      </c>
      <c r="J14" t="str">
        <f>PROPER(tbl_Orders[[#This Row],[Status]])</f>
        <v>Delivered</v>
      </c>
    </row>
    <row r="15" spans="1:10" x14ac:dyDescent="0.25">
      <c r="A15">
        <v>1014</v>
      </c>
      <c r="B15" t="s">
        <v>12</v>
      </c>
      <c r="C15" t="s">
        <v>19</v>
      </c>
      <c r="D15">
        <v>7</v>
      </c>
      <c r="E15" s="2">
        <v>45330</v>
      </c>
      <c r="F15" t="s">
        <v>27</v>
      </c>
      <c r="G15" s="3">
        <v>0.1</v>
      </c>
      <c r="H15" t="s">
        <v>33</v>
      </c>
      <c r="I15" t="str">
        <f>PROPER(tbl_Orders[[#This Row],[Region]])</f>
        <v>West</v>
      </c>
      <c r="J15" t="str">
        <f>PROPER(tbl_Orders[[#This Row],[Status]])</f>
        <v>Processing</v>
      </c>
    </row>
    <row r="16" spans="1:10" x14ac:dyDescent="0.25">
      <c r="A16">
        <v>1015</v>
      </c>
      <c r="B16" t="s">
        <v>9</v>
      </c>
      <c r="C16" t="s">
        <v>20</v>
      </c>
      <c r="D16">
        <v>1</v>
      </c>
      <c r="E16" s="2">
        <v>45332</v>
      </c>
      <c r="F16" t="s">
        <v>28</v>
      </c>
      <c r="G16" s="3">
        <v>0</v>
      </c>
      <c r="H16" t="s">
        <v>32</v>
      </c>
      <c r="I16" t="str">
        <f>PROPER(tbl_Orders[[#This Row],[Region]])</f>
        <v>North</v>
      </c>
      <c r="J16" t="str">
        <f>PROPER(tbl_Orders[[#This Row],[Status]])</f>
        <v>Cancelled</v>
      </c>
    </row>
    <row r="17" spans="1:10" x14ac:dyDescent="0.25">
      <c r="A17">
        <v>1016</v>
      </c>
      <c r="B17" t="s">
        <v>13</v>
      </c>
      <c r="C17" t="s">
        <v>21</v>
      </c>
      <c r="D17">
        <v>3</v>
      </c>
      <c r="E17" s="2">
        <v>45334</v>
      </c>
      <c r="F17" t="s">
        <v>26</v>
      </c>
      <c r="G17" s="3">
        <v>0.15</v>
      </c>
      <c r="H17" t="s">
        <v>31</v>
      </c>
      <c r="I17" t="str">
        <f>PROPER(tbl_Orders[[#This Row],[Region]])</f>
        <v>East</v>
      </c>
      <c r="J17" t="str">
        <f>PROPER(tbl_Orders[[#This Row],[Status]])</f>
        <v>Delivered</v>
      </c>
    </row>
    <row r="18" spans="1:10" x14ac:dyDescent="0.25">
      <c r="A18">
        <v>1017</v>
      </c>
      <c r="B18" t="s">
        <v>14</v>
      </c>
      <c r="C18" t="s">
        <v>22</v>
      </c>
      <c r="D18">
        <v>2</v>
      </c>
      <c r="E18" s="2">
        <v>45337</v>
      </c>
      <c r="F18" t="s">
        <v>29</v>
      </c>
      <c r="G18" s="3">
        <v>0</v>
      </c>
      <c r="H18" t="s">
        <v>31</v>
      </c>
      <c r="I18" t="str">
        <f>PROPER(tbl_Orders[[#This Row],[Region]])</f>
        <v>South</v>
      </c>
      <c r="J18" t="str">
        <f>PROPER(tbl_Orders[[#This Row],[Status]])</f>
        <v>Delivered</v>
      </c>
    </row>
    <row r="19" spans="1:10" x14ac:dyDescent="0.25">
      <c r="A19">
        <v>1018</v>
      </c>
      <c r="B19" t="s">
        <v>15</v>
      </c>
      <c r="C19" t="s">
        <v>23</v>
      </c>
      <c r="D19">
        <v>5</v>
      </c>
      <c r="E19" s="2">
        <v>45340</v>
      </c>
      <c r="F19" t="s">
        <v>27</v>
      </c>
      <c r="G19" s="3">
        <v>0.1</v>
      </c>
      <c r="H19" t="s">
        <v>33</v>
      </c>
      <c r="I19" t="str">
        <f>PROPER(tbl_Orders[[#This Row],[Region]])</f>
        <v>West</v>
      </c>
      <c r="J19" t="str">
        <f>PROPER(tbl_Orders[[#This Row],[Status]])</f>
        <v>Processing</v>
      </c>
    </row>
    <row r="20" spans="1:10" x14ac:dyDescent="0.25">
      <c r="A20">
        <v>1019</v>
      </c>
      <c r="B20" t="s">
        <v>10</v>
      </c>
      <c r="C20" t="s">
        <v>24</v>
      </c>
      <c r="D20">
        <v>4</v>
      </c>
      <c r="E20" s="2">
        <v>45342</v>
      </c>
      <c r="F20" t="s">
        <v>28</v>
      </c>
      <c r="G20" s="3">
        <v>0.22</v>
      </c>
      <c r="H20" t="s">
        <v>33</v>
      </c>
      <c r="I20" t="str">
        <f>PROPER(tbl_Orders[[#This Row],[Region]])</f>
        <v>North</v>
      </c>
      <c r="J20" t="str">
        <f>PROPER(tbl_Orders[[#This Row],[Status]])</f>
        <v>Processing</v>
      </c>
    </row>
    <row r="21" spans="1:10" x14ac:dyDescent="0.25">
      <c r="A21">
        <v>1020</v>
      </c>
      <c r="B21" t="s">
        <v>8</v>
      </c>
      <c r="C21" t="s">
        <v>25</v>
      </c>
      <c r="D21">
        <v>1</v>
      </c>
      <c r="E21" s="2">
        <v>45344</v>
      </c>
      <c r="F21" t="s">
        <v>26</v>
      </c>
      <c r="G21" s="3">
        <v>0</v>
      </c>
      <c r="H21" t="s">
        <v>31</v>
      </c>
      <c r="I21" t="str">
        <f>PROPER(tbl_Orders[[#This Row],[Region]])</f>
        <v>East</v>
      </c>
      <c r="J21" t="str">
        <f>PROPER(tbl_Orders[[#This Row],[Status]])</f>
        <v>Delivered</v>
      </c>
    </row>
    <row r="22" spans="1:10" x14ac:dyDescent="0.25">
      <c r="A22">
        <v>1021</v>
      </c>
      <c r="B22" t="s">
        <v>11</v>
      </c>
      <c r="C22" t="s">
        <v>16</v>
      </c>
      <c r="D22">
        <v>8</v>
      </c>
      <c r="E22" s="2">
        <v>45347</v>
      </c>
      <c r="F22" t="s">
        <v>29</v>
      </c>
      <c r="G22" s="3">
        <v>0.05</v>
      </c>
      <c r="H22" t="s">
        <v>31</v>
      </c>
      <c r="I22" t="str">
        <f>PROPER(tbl_Orders[[#This Row],[Region]])</f>
        <v>South</v>
      </c>
      <c r="J22" t="str">
        <f>PROPER(tbl_Orders[[#This Row],[Status]])</f>
        <v>Delivered</v>
      </c>
    </row>
    <row r="23" spans="1:10" x14ac:dyDescent="0.25">
      <c r="A23">
        <v>1022</v>
      </c>
      <c r="B23" t="s">
        <v>12</v>
      </c>
      <c r="C23" t="s">
        <v>17</v>
      </c>
      <c r="D23">
        <v>2</v>
      </c>
      <c r="E23" s="2">
        <v>45350</v>
      </c>
      <c r="F23" t="s">
        <v>27</v>
      </c>
      <c r="G23" s="3">
        <v>0.1</v>
      </c>
      <c r="H23" t="s">
        <v>33</v>
      </c>
      <c r="I23" t="str">
        <f>PROPER(tbl_Orders[[#This Row],[Region]])</f>
        <v>West</v>
      </c>
      <c r="J23" t="str">
        <f>PROPER(tbl_Orders[[#This Row],[Status]])</f>
        <v>Processing</v>
      </c>
    </row>
    <row r="24" spans="1:10" x14ac:dyDescent="0.25">
      <c r="A24">
        <v>1023</v>
      </c>
      <c r="B24" t="s">
        <v>9</v>
      </c>
      <c r="C24" t="s">
        <v>18</v>
      </c>
      <c r="D24">
        <v>1</v>
      </c>
      <c r="E24" s="2">
        <v>45352</v>
      </c>
      <c r="F24" t="s">
        <v>28</v>
      </c>
      <c r="G24" s="3">
        <v>0.18</v>
      </c>
      <c r="H24" t="s">
        <v>31</v>
      </c>
      <c r="I24" t="str">
        <f>PROPER(tbl_Orders[[#This Row],[Region]])</f>
        <v>North</v>
      </c>
      <c r="J24" t="str">
        <f>PROPER(tbl_Orders[[#This Row],[Status]])</f>
        <v>Delivered</v>
      </c>
    </row>
    <row r="25" spans="1:10" x14ac:dyDescent="0.25">
      <c r="A25">
        <v>1024</v>
      </c>
      <c r="B25" t="s">
        <v>13</v>
      </c>
      <c r="C25" t="s">
        <v>19</v>
      </c>
      <c r="D25">
        <v>3</v>
      </c>
      <c r="E25" s="2">
        <v>45356</v>
      </c>
      <c r="F25" t="s">
        <v>26</v>
      </c>
      <c r="G25" s="3">
        <v>0.12</v>
      </c>
      <c r="H25" t="s">
        <v>33</v>
      </c>
      <c r="I25" t="str">
        <f>PROPER(tbl_Orders[[#This Row],[Region]])</f>
        <v>East</v>
      </c>
      <c r="J25" t="str">
        <f>PROPER(tbl_Orders[[#This Row],[Status]])</f>
        <v>Processing</v>
      </c>
    </row>
    <row r="26" spans="1:10" x14ac:dyDescent="0.25">
      <c r="A26">
        <v>1025</v>
      </c>
      <c r="B26" t="s">
        <v>14</v>
      </c>
      <c r="C26" t="s">
        <v>20</v>
      </c>
      <c r="D26">
        <v>6</v>
      </c>
      <c r="E26" s="2">
        <v>45359</v>
      </c>
      <c r="F26" t="s">
        <v>29</v>
      </c>
      <c r="G26" s="3">
        <v>0</v>
      </c>
      <c r="H26" t="s">
        <v>31</v>
      </c>
      <c r="I26" t="str">
        <f>PROPER(tbl_Orders[[#This Row],[Region]])</f>
        <v>South</v>
      </c>
      <c r="J26" t="str">
        <f>PROPER(tbl_Orders[[#This Row],[Status]])</f>
        <v>Delivered</v>
      </c>
    </row>
    <row r="27" spans="1:10" x14ac:dyDescent="0.25">
      <c r="A27">
        <v>1026</v>
      </c>
      <c r="B27" t="s">
        <v>15</v>
      </c>
      <c r="C27" t="s">
        <v>21</v>
      </c>
      <c r="D27">
        <v>2</v>
      </c>
      <c r="E27" s="2">
        <v>45361</v>
      </c>
      <c r="F27" t="s">
        <v>27</v>
      </c>
      <c r="G27" s="3">
        <v>0.2</v>
      </c>
      <c r="H27" t="s">
        <v>35</v>
      </c>
      <c r="I27" t="str">
        <f>PROPER(tbl_Orders[[#This Row],[Region]])</f>
        <v>West</v>
      </c>
      <c r="J27" t="str">
        <f>PROPER(tbl_Orders[[#This Row],[Status]])</f>
        <v>Delivered</v>
      </c>
    </row>
    <row r="28" spans="1:10" x14ac:dyDescent="0.25">
      <c r="A28">
        <v>1027</v>
      </c>
      <c r="B28" t="s">
        <v>10</v>
      </c>
      <c r="C28" t="s">
        <v>22</v>
      </c>
      <c r="D28">
        <v>1</v>
      </c>
      <c r="E28" s="2">
        <v>45363</v>
      </c>
      <c r="F28" t="s">
        <v>28</v>
      </c>
      <c r="G28" s="3">
        <v>0.12</v>
      </c>
      <c r="H28" t="s">
        <v>33</v>
      </c>
      <c r="I28" t="str">
        <f>PROPER(tbl_Orders[[#This Row],[Region]])</f>
        <v>North</v>
      </c>
      <c r="J28" t="str">
        <f>PROPER(tbl_Orders[[#This Row],[Status]])</f>
        <v>Processing</v>
      </c>
    </row>
    <row r="29" spans="1:10" x14ac:dyDescent="0.25">
      <c r="A29">
        <v>1028</v>
      </c>
      <c r="B29" t="s">
        <v>8</v>
      </c>
      <c r="C29" t="s">
        <v>23</v>
      </c>
      <c r="D29">
        <v>4</v>
      </c>
      <c r="E29" s="2">
        <v>45366</v>
      </c>
      <c r="F29" t="s">
        <v>26</v>
      </c>
      <c r="G29" s="3">
        <v>0.08</v>
      </c>
      <c r="H29" t="s">
        <v>33</v>
      </c>
      <c r="I29" t="str">
        <f>PROPER(tbl_Orders[[#This Row],[Region]])</f>
        <v>East</v>
      </c>
      <c r="J29" t="str">
        <f>PROPER(tbl_Orders[[#This Row],[Status]])</f>
        <v>Processing</v>
      </c>
    </row>
    <row r="30" spans="1:10" x14ac:dyDescent="0.25">
      <c r="A30">
        <v>1029</v>
      </c>
      <c r="B30" t="s">
        <v>11</v>
      </c>
      <c r="C30" t="s">
        <v>24</v>
      </c>
      <c r="D30">
        <v>2</v>
      </c>
      <c r="E30" s="2">
        <v>45369</v>
      </c>
      <c r="F30" t="s">
        <v>29</v>
      </c>
      <c r="G30" s="3">
        <v>0</v>
      </c>
      <c r="H30" t="s">
        <v>31</v>
      </c>
      <c r="I30" t="str">
        <f>PROPER(tbl_Orders[[#This Row],[Region]])</f>
        <v>South</v>
      </c>
      <c r="J30" t="str">
        <f>PROPER(tbl_Orders[[#This Row],[Status]])</f>
        <v>Delivered</v>
      </c>
    </row>
    <row r="31" spans="1:10" x14ac:dyDescent="0.25">
      <c r="A31">
        <v>1030</v>
      </c>
      <c r="B31" t="s">
        <v>12</v>
      </c>
      <c r="C31" t="s">
        <v>25</v>
      </c>
      <c r="D31">
        <v>5</v>
      </c>
      <c r="E31" s="2">
        <v>45371</v>
      </c>
      <c r="F31" t="s">
        <v>27</v>
      </c>
      <c r="G31" s="3">
        <v>0.2</v>
      </c>
      <c r="H31" t="s">
        <v>31</v>
      </c>
      <c r="I31" t="str">
        <f>PROPER(tbl_Orders[[#This Row],[Region]])</f>
        <v>West</v>
      </c>
      <c r="J31" t="str">
        <f>PROPER(tbl_Orders[[#This Row],[Status]])</f>
        <v>Delivered</v>
      </c>
    </row>
  </sheetData>
  <dataValidations count="1">
    <dataValidation type="list" allowBlank="1" showInputMessage="1" showErrorMessage="1" errorTitle="Invalid Region" error="Must be North,South,East or West" promptTitle="Select Region" prompt="Choose from North,South,East or West" sqref="F1:F1048576">
      <formula1>"North,South,East,West"</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A2" sqref="A2"/>
    </sheetView>
  </sheetViews>
  <sheetFormatPr defaultRowHeight="15" x14ac:dyDescent="0.25"/>
  <cols>
    <col min="1" max="1" width="13.28515625" customWidth="1"/>
    <col min="2" max="2" width="20.42578125" customWidth="1"/>
    <col min="3" max="3" width="14.42578125" customWidth="1"/>
    <col min="4" max="4" width="15.7109375" style="14" customWidth="1"/>
    <col min="5" max="5" width="12.7109375" customWidth="1"/>
    <col min="6" max="6" width="13.140625" customWidth="1"/>
    <col min="7" max="7" width="18.42578125" customWidth="1"/>
  </cols>
  <sheetData>
    <row r="1" spans="1:7" s="1" customFormat="1" x14ac:dyDescent="0.25">
      <c r="A1" s="1" t="s">
        <v>2</v>
      </c>
      <c r="B1" s="1" t="s">
        <v>36</v>
      </c>
      <c r="C1" s="1" t="s">
        <v>37</v>
      </c>
      <c r="D1" s="13" t="s">
        <v>38</v>
      </c>
      <c r="E1" s="1" t="s">
        <v>39</v>
      </c>
      <c r="F1" s="1" t="s">
        <v>40</v>
      </c>
      <c r="G1" s="1" t="s">
        <v>41</v>
      </c>
    </row>
    <row r="2" spans="1:7" x14ac:dyDescent="0.25">
      <c r="A2" t="s">
        <v>16</v>
      </c>
      <c r="B2" t="s">
        <v>42</v>
      </c>
      <c r="C2" t="s">
        <v>52</v>
      </c>
      <c r="D2" s="14">
        <v>29.99</v>
      </c>
      <c r="E2">
        <v>15</v>
      </c>
      <c r="F2" t="s">
        <v>56</v>
      </c>
      <c r="G2" s="4">
        <v>0.49980000000000002</v>
      </c>
    </row>
    <row r="3" spans="1:7" x14ac:dyDescent="0.25">
      <c r="A3" t="s">
        <v>17</v>
      </c>
      <c r="B3" t="s">
        <v>43</v>
      </c>
      <c r="C3" t="s">
        <v>53</v>
      </c>
      <c r="D3" s="14">
        <v>299.99</v>
      </c>
      <c r="E3">
        <v>180</v>
      </c>
      <c r="F3" t="s">
        <v>57</v>
      </c>
      <c r="G3" s="4">
        <v>0.4</v>
      </c>
    </row>
    <row r="4" spans="1:7" x14ac:dyDescent="0.25">
      <c r="A4" t="s">
        <v>18</v>
      </c>
      <c r="B4" t="s">
        <v>44</v>
      </c>
      <c r="C4" t="s">
        <v>52</v>
      </c>
      <c r="D4" s="14">
        <v>89.99</v>
      </c>
      <c r="E4">
        <v>45</v>
      </c>
      <c r="F4" t="s">
        <v>56</v>
      </c>
      <c r="G4" s="4">
        <v>0.5</v>
      </c>
    </row>
    <row r="5" spans="1:7" x14ac:dyDescent="0.25">
      <c r="A5" t="s">
        <v>19</v>
      </c>
      <c r="B5" t="s">
        <v>45</v>
      </c>
      <c r="C5" t="s">
        <v>52</v>
      </c>
      <c r="D5" s="14">
        <v>199.99</v>
      </c>
      <c r="E5">
        <v>120</v>
      </c>
      <c r="F5" t="s">
        <v>58</v>
      </c>
      <c r="G5" s="4">
        <v>0.4</v>
      </c>
    </row>
    <row r="6" spans="1:7" x14ac:dyDescent="0.25">
      <c r="A6" t="s">
        <v>20</v>
      </c>
      <c r="B6" t="s">
        <v>46</v>
      </c>
      <c r="C6" t="s">
        <v>54</v>
      </c>
      <c r="D6" s="14">
        <v>39.99</v>
      </c>
      <c r="E6">
        <v>18</v>
      </c>
      <c r="F6" t="s">
        <v>59</v>
      </c>
      <c r="G6" s="4">
        <v>0.55000000000000004</v>
      </c>
    </row>
    <row r="7" spans="1:7" x14ac:dyDescent="0.25">
      <c r="A7" t="s">
        <v>21</v>
      </c>
      <c r="B7" t="s">
        <v>47</v>
      </c>
      <c r="C7" t="s">
        <v>52</v>
      </c>
      <c r="D7" s="14">
        <v>59.99</v>
      </c>
      <c r="E7">
        <v>28</v>
      </c>
      <c r="F7" t="s">
        <v>56</v>
      </c>
      <c r="G7" s="4">
        <v>0.53</v>
      </c>
    </row>
    <row r="8" spans="1:7" x14ac:dyDescent="0.25">
      <c r="A8" t="s">
        <v>22</v>
      </c>
      <c r="B8" t="s">
        <v>48</v>
      </c>
      <c r="C8" t="s">
        <v>55</v>
      </c>
      <c r="D8" s="14">
        <v>24.99</v>
      </c>
      <c r="E8">
        <v>10</v>
      </c>
      <c r="F8" t="s">
        <v>60</v>
      </c>
      <c r="G8" s="4">
        <v>0.6</v>
      </c>
    </row>
    <row r="9" spans="1:7" x14ac:dyDescent="0.25">
      <c r="A9" t="s">
        <v>23</v>
      </c>
      <c r="B9" t="s">
        <v>49</v>
      </c>
      <c r="C9" t="s">
        <v>54</v>
      </c>
      <c r="D9" s="14">
        <v>79.989999999999995</v>
      </c>
      <c r="E9">
        <v>40</v>
      </c>
      <c r="F9" t="s">
        <v>59</v>
      </c>
      <c r="G9" s="4">
        <v>0.5</v>
      </c>
    </row>
    <row r="10" spans="1:7" x14ac:dyDescent="0.25">
      <c r="A10" t="s">
        <v>24</v>
      </c>
      <c r="B10" t="s">
        <v>50</v>
      </c>
      <c r="C10" t="s">
        <v>52</v>
      </c>
      <c r="D10" s="14">
        <v>49.99</v>
      </c>
      <c r="E10">
        <v>25</v>
      </c>
      <c r="F10" t="s">
        <v>61</v>
      </c>
      <c r="G10" s="4">
        <v>0.5</v>
      </c>
    </row>
    <row r="11" spans="1:7" x14ac:dyDescent="0.25">
      <c r="A11" t="s">
        <v>25</v>
      </c>
      <c r="B11" t="s">
        <v>51</v>
      </c>
      <c r="C11" t="s">
        <v>53</v>
      </c>
      <c r="D11" s="14">
        <v>149.99</v>
      </c>
      <c r="E11">
        <v>90</v>
      </c>
      <c r="F11" t="s">
        <v>57</v>
      </c>
      <c r="G11" s="4">
        <v>0.4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C19" sqref="C19"/>
    </sheetView>
  </sheetViews>
  <sheetFormatPr defaultRowHeight="15" x14ac:dyDescent="0.25"/>
  <cols>
    <col min="1" max="1" width="13.5703125" customWidth="1"/>
    <col min="2" max="2" width="18.28515625" customWidth="1"/>
    <col min="3" max="3" width="16.7109375" customWidth="1"/>
    <col min="4" max="4" width="12.5703125" customWidth="1"/>
    <col min="5" max="5" width="18.5703125" customWidth="1"/>
    <col min="6" max="6" width="15.42578125" customWidth="1"/>
    <col min="7" max="7" width="15.28515625" customWidth="1"/>
  </cols>
  <sheetData>
    <row r="1" spans="1:7" s="1" customFormat="1" x14ac:dyDescent="0.25">
      <c r="A1" s="1" t="s">
        <v>1</v>
      </c>
      <c r="B1" s="1" t="s">
        <v>106</v>
      </c>
      <c r="C1" s="1" t="s">
        <v>62</v>
      </c>
      <c r="D1" s="1" t="s">
        <v>63</v>
      </c>
      <c r="E1" s="1" t="s">
        <v>64</v>
      </c>
      <c r="F1" s="1" t="s">
        <v>65</v>
      </c>
      <c r="G1" s="1" t="s">
        <v>66</v>
      </c>
    </row>
    <row r="2" spans="1:7" x14ac:dyDescent="0.25">
      <c r="A2" t="s">
        <v>8</v>
      </c>
      <c r="B2" t="s">
        <v>67</v>
      </c>
      <c r="C2" s="2">
        <v>45061</v>
      </c>
      <c r="D2" t="s">
        <v>75</v>
      </c>
      <c r="E2" s="5" t="s">
        <v>78</v>
      </c>
      <c r="F2" t="s">
        <v>86</v>
      </c>
      <c r="G2" t="s">
        <v>94</v>
      </c>
    </row>
    <row r="3" spans="1:7" x14ac:dyDescent="0.25">
      <c r="A3" t="s">
        <v>9</v>
      </c>
      <c r="B3" t="s">
        <v>68</v>
      </c>
      <c r="C3" s="2">
        <v>45292</v>
      </c>
      <c r="D3" t="s">
        <v>76</v>
      </c>
      <c r="E3" s="5" t="s">
        <v>79</v>
      </c>
      <c r="F3" t="s">
        <v>87</v>
      </c>
      <c r="G3" t="s">
        <v>95</v>
      </c>
    </row>
    <row r="4" spans="1:7" x14ac:dyDescent="0.25">
      <c r="A4" t="s">
        <v>10</v>
      </c>
      <c r="B4" t="s">
        <v>69</v>
      </c>
      <c r="C4" s="2">
        <v>45160</v>
      </c>
      <c r="D4" t="s">
        <v>77</v>
      </c>
      <c r="E4" s="5" t="s">
        <v>80</v>
      </c>
      <c r="F4" t="s">
        <v>88</v>
      </c>
      <c r="G4" t="s">
        <v>96</v>
      </c>
    </row>
    <row r="5" spans="1:7" x14ac:dyDescent="0.25">
      <c r="A5" t="s">
        <v>11</v>
      </c>
      <c r="B5" t="s">
        <v>70</v>
      </c>
      <c r="C5" s="2">
        <v>45240</v>
      </c>
      <c r="D5" t="s">
        <v>75</v>
      </c>
      <c r="E5" s="5" t="s">
        <v>81</v>
      </c>
      <c r="F5" t="s">
        <v>89</v>
      </c>
      <c r="G5" t="s">
        <v>97</v>
      </c>
    </row>
    <row r="6" spans="1:7" x14ac:dyDescent="0.25">
      <c r="A6" t="s">
        <v>12</v>
      </c>
      <c r="B6" t="s">
        <v>71</v>
      </c>
      <c r="C6" s="2">
        <v>45336</v>
      </c>
      <c r="D6" t="s">
        <v>76</v>
      </c>
      <c r="E6" s="5" t="s">
        <v>82</v>
      </c>
      <c r="F6" t="s">
        <v>90</v>
      </c>
      <c r="G6" t="s">
        <v>98</v>
      </c>
    </row>
    <row r="7" spans="1:7" x14ac:dyDescent="0.25">
      <c r="A7" t="s">
        <v>13</v>
      </c>
      <c r="B7" t="s">
        <v>72</v>
      </c>
      <c r="C7" s="2">
        <v>45110</v>
      </c>
      <c r="D7" t="s">
        <v>77</v>
      </c>
      <c r="E7" s="5" t="s">
        <v>83</v>
      </c>
      <c r="F7" t="s">
        <v>91</v>
      </c>
      <c r="G7" t="s">
        <v>99</v>
      </c>
    </row>
    <row r="8" spans="1:7" x14ac:dyDescent="0.25">
      <c r="A8" t="s">
        <v>14</v>
      </c>
      <c r="B8" t="s">
        <v>73</v>
      </c>
      <c r="C8" s="2">
        <v>45199</v>
      </c>
      <c r="D8" t="s">
        <v>75</v>
      </c>
      <c r="E8" s="5" t="s">
        <v>84</v>
      </c>
      <c r="F8" t="s">
        <v>92</v>
      </c>
      <c r="G8" t="s">
        <v>97</v>
      </c>
    </row>
    <row r="9" spans="1:7" x14ac:dyDescent="0.25">
      <c r="A9" t="s">
        <v>15</v>
      </c>
      <c r="B9" t="s">
        <v>74</v>
      </c>
      <c r="C9" s="2">
        <v>45352</v>
      </c>
      <c r="D9" t="s">
        <v>77</v>
      </c>
      <c r="E9" s="5" t="s">
        <v>85</v>
      </c>
      <c r="F9" t="s">
        <v>93</v>
      </c>
      <c r="G9" t="s">
        <v>95</v>
      </c>
    </row>
  </sheetData>
  <hyperlinks>
    <hyperlink ref="E2" r:id="rId1"/>
    <hyperlink ref="E3" r:id="rId2"/>
    <hyperlink ref="E5" r:id="rId3"/>
    <hyperlink ref="E6" r:id="rId4"/>
    <hyperlink ref="E7" r:id="rId5"/>
    <hyperlink ref="E4" r:id="rId6"/>
    <hyperlink ref="E8" r:id="rId7"/>
    <hyperlink ref="E9" r:id="rId8"/>
  </hyperlinks>
  <pageMargins left="0.7" right="0.7" top="0.75" bottom="0.75" header="0.3" footer="0.3"/>
  <pageSetup orientation="portrait" r:id="rId9"/>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0"/>
  <sheetViews>
    <sheetView topLeftCell="C1" workbookViewId="0">
      <selection activeCell="F2" sqref="F2"/>
    </sheetView>
  </sheetViews>
  <sheetFormatPr defaultRowHeight="15" x14ac:dyDescent="0.25"/>
  <cols>
    <col min="1" max="1" width="10.140625" customWidth="1"/>
    <col min="2" max="2" width="13.5703125" customWidth="1"/>
    <col min="3" max="3" width="11.85546875" customWidth="1"/>
    <col min="4" max="4" width="10.85546875" customWidth="1"/>
    <col min="5" max="5" width="12.42578125" customWidth="1"/>
    <col min="6" max="6" width="9.28515625" customWidth="1"/>
    <col min="7" max="7" width="10.85546875" customWidth="1"/>
    <col min="9" max="12" width="16.28515625" customWidth="1"/>
    <col min="17" max="17" width="9.140625" style="9"/>
    <col min="18" max="18" width="14.28515625" style="9" customWidth="1"/>
    <col min="19" max="19" width="11.28515625" style="11" customWidth="1"/>
    <col min="20" max="20" width="10.5703125" style="9" customWidth="1"/>
  </cols>
  <sheetData>
    <row r="1" spans="1:22" x14ac:dyDescent="0.25">
      <c r="A1" s="1" t="s">
        <v>0</v>
      </c>
      <c r="B1" s="1" t="s">
        <v>1</v>
      </c>
      <c r="C1" s="1" t="s">
        <v>2</v>
      </c>
      <c r="D1" s="1" t="s">
        <v>3</v>
      </c>
      <c r="E1" s="1" t="s">
        <v>4</v>
      </c>
      <c r="F1" s="1" t="s">
        <v>5</v>
      </c>
      <c r="G1" s="1" t="s">
        <v>6</v>
      </c>
      <c r="H1" s="1" t="s">
        <v>7</v>
      </c>
      <c r="I1" s="1" t="s">
        <v>106</v>
      </c>
      <c r="J1" s="1" t="s">
        <v>107</v>
      </c>
      <c r="K1" s="1" t="s">
        <v>108</v>
      </c>
      <c r="L1" s="1" t="s">
        <v>109</v>
      </c>
      <c r="M1" s="6" t="s">
        <v>100</v>
      </c>
      <c r="N1" s="6" t="s">
        <v>101</v>
      </c>
      <c r="O1" s="6" t="s">
        <v>102</v>
      </c>
      <c r="P1" s="6" t="s">
        <v>103</v>
      </c>
      <c r="Q1" s="8" t="s">
        <v>38</v>
      </c>
      <c r="R1" s="12" t="s">
        <v>37</v>
      </c>
      <c r="S1" s="10" t="s">
        <v>104</v>
      </c>
      <c r="T1" s="8" t="s">
        <v>105</v>
      </c>
      <c r="U1" s="1" t="s">
        <v>114</v>
      </c>
      <c r="V1" s="6" t="s">
        <v>177</v>
      </c>
    </row>
    <row r="2" spans="1:22" x14ac:dyDescent="0.25">
      <c r="A2">
        <v>1001</v>
      </c>
      <c r="B2" t="s">
        <v>8</v>
      </c>
      <c r="C2" t="s">
        <v>16</v>
      </c>
      <c r="D2">
        <v>2</v>
      </c>
      <c r="E2" s="2">
        <v>45296</v>
      </c>
      <c r="F2" t="s">
        <v>26</v>
      </c>
      <c r="G2" s="3">
        <v>0.1</v>
      </c>
      <c r="H2" t="s">
        <v>31</v>
      </c>
      <c r="I2" t="str">
        <f>IFERROR(VLOOKUP(tbl_Practice[[#This Row],[CustomerID]],Customers!$A:$G,2,FALSE),"Unknown")</f>
        <v>John Smith</v>
      </c>
      <c r="J2" t="str">
        <f>TRIM(PROPER(tbl_Practice[[#This Row],[CustomerName]]))</f>
        <v>John Smith</v>
      </c>
      <c r="K2" t="str">
        <f>IFERROR(VLOOKUP(tbl_Practice[[#This Row],[CustomerID]],Customers!$A:$G,4,FALSE),"Unknown")</f>
        <v>Gold</v>
      </c>
      <c r="L2" t="str">
        <f>IFERROR(VLOOKUP(tbl_Practice[[#This Row],[CustomerID]],Customers!$A:$G,6,FALSE),"Unknown")</f>
        <v>New York</v>
      </c>
      <c r="M2" t="str">
        <f>TEXT(tbl_Practice[[#This Row],[OrderDate]],"mmmm")</f>
        <v>January</v>
      </c>
      <c r="N2">
        <f>YEAR(tbl_Practice[[#This Row],[OrderDate]])</f>
        <v>2024</v>
      </c>
      <c r="O2" t="str">
        <f>TEXT(tbl_Practice[[#This Row],[OrderDate]],"mmm-yy")</f>
        <v>Jan-24</v>
      </c>
      <c r="P2" s="7" t="str">
        <f>"Q"&amp;INT((MONTH(tbl_Practice[[#This Row],[OrderDate]])-1)/3)+1&amp;"-"&amp;YEAR(tbl_Practice[[#This Row],[OrderDate]])</f>
        <v>Q1-2024</v>
      </c>
      <c r="Q2" s="9">
        <f>IFERROR(VLOOKUP(tbl_Practice[[#This Row],[ProductID]],Products!$A:$G,4,FALSE),0)</f>
        <v>29.99</v>
      </c>
      <c r="R2" s="9" t="str">
        <f>IFERROR(VLOOKUP(tbl_Practice[[#This Row],[ProductID]],Products!$A:$G,3,FALSE),"Unknown")</f>
        <v>Electronics</v>
      </c>
      <c r="S2" s="11">
        <f>VALUE(SUBSTITUTE(tbl_Practice[[#This Row],[Discount]], "%", ""))</f>
        <v>0.1</v>
      </c>
      <c r="T2" s="9">
        <f>tbl_Practice[[#This Row],[Quantity]]*tbl_Practice[[#This Row],[UnitPrice]]*(1-tbl_Practice[[#This Row],[DiscountValue]])</f>
        <v>53.981999999999999</v>
      </c>
      <c r="U2" s="9" t="str">
        <f>IF(tbl_Practice[[#This Row],[Revenue]]&gt;500,"Large","Standard")</f>
        <v>Standard</v>
      </c>
      <c r="V2" s="9">
        <f>(tbl_Practice[[#This Row],[UnitPrice]]-IFERROR(VLOOKUP(tbl_Practice[[#This Row],[ProductID]],Products!$A:$G,5,FALSE),0))*tbl_Practice[[#This Row],[Quantity]]*(1-tbl_Practice[[#This Row],[DiscountValue]])</f>
        <v>26.981999999999999</v>
      </c>
    </row>
    <row r="3" spans="1:22" x14ac:dyDescent="0.25">
      <c r="A3">
        <v>1002</v>
      </c>
      <c r="B3" t="s">
        <v>9</v>
      </c>
      <c r="C3" t="s">
        <v>17</v>
      </c>
      <c r="D3">
        <v>1</v>
      </c>
      <c r="E3" s="2">
        <v>45298</v>
      </c>
      <c r="F3" t="s">
        <v>27</v>
      </c>
      <c r="G3" s="3">
        <v>0</v>
      </c>
      <c r="H3" t="s">
        <v>32</v>
      </c>
      <c r="I3" t="str">
        <f>IFERROR(VLOOKUP(tbl_Practice[[#This Row],[CustomerID]],Customers!$A:$G,2,FALSE),"Unknown")</f>
        <v>Jane Doe</v>
      </c>
      <c r="J3" t="str">
        <f>TRIM(PROPER(tbl_Practice[[#This Row],[CustomerName]]))</f>
        <v>Jane Doe</v>
      </c>
      <c r="K3" t="str">
        <f>IFERROR(VLOOKUP(tbl_Practice[[#This Row],[CustomerID]],Customers!$A:$G,4,FALSE),"Unknown")</f>
        <v>Silver</v>
      </c>
      <c r="L3" t="str">
        <f>IFERROR(VLOOKUP(tbl_Practice[[#This Row],[CustomerID]],Customers!$A:$G,6,FALSE),"Unknown")</f>
        <v>Los Angeles</v>
      </c>
      <c r="M3" t="str">
        <f>TEXT(tbl_Practice[[#This Row],[OrderDate]],"mmmm")</f>
        <v>January</v>
      </c>
      <c r="N3">
        <f>YEAR(tbl_Practice[[#This Row],[OrderDate]])</f>
        <v>2024</v>
      </c>
      <c r="O3" t="str">
        <f>TEXT(tbl_Practice[[#This Row],[OrderDate]],"mmm-yy")</f>
        <v>Jan-24</v>
      </c>
      <c r="P3" s="7" t="str">
        <f>"Q"&amp;INT((MONTH(tbl_Practice[[#This Row],[OrderDate]])-1)/3)+1&amp;"-"&amp;YEAR(tbl_Practice[[#This Row],[OrderDate]])</f>
        <v>Q1-2024</v>
      </c>
      <c r="Q3" s="9">
        <f>IFERROR(VLOOKUP(tbl_Practice[[#This Row],[ProductID]],Products!$A:$G,4,FALSE),0)</f>
        <v>299.99</v>
      </c>
      <c r="R3" s="9" t="str">
        <f>IFERROR(VLOOKUP(tbl_Practice[[#This Row],[ProductID]],Products!$A:$G,3,FALSE),"Unknown")</f>
        <v>Furniture</v>
      </c>
      <c r="S3" s="11">
        <f>VALUE(SUBSTITUTE(tbl_Practice[[#This Row],[Discount]], "%", ""))</f>
        <v>0</v>
      </c>
      <c r="T3" s="9">
        <f>tbl_Practice[[#This Row],[Quantity]]*tbl_Practice[[#This Row],[UnitPrice]]*(1-tbl_Practice[[#This Row],[DiscountValue]])</f>
        <v>299.99</v>
      </c>
      <c r="U3" s="9" t="str">
        <f>IF(tbl_Practice[[#This Row],[Revenue]]&gt;500,"Large","Standard")</f>
        <v>Standard</v>
      </c>
      <c r="V3" s="9">
        <f>(tbl_Practice[[#This Row],[UnitPrice]]-IFERROR(VLOOKUP(tbl_Practice[[#This Row],[ProductID]],Products!$A:$G,5,FALSE),0))*tbl_Practice[[#This Row],[Quantity]]*(1-tbl_Practice[[#This Row],[DiscountValue]])</f>
        <v>119.99000000000001</v>
      </c>
    </row>
    <row r="4" spans="1:22" x14ac:dyDescent="0.25">
      <c r="A4">
        <v>1003</v>
      </c>
      <c r="B4" t="s">
        <v>10</v>
      </c>
      <c r="C4" t="s">
        <v>18</v>
      </c>
      <c r="D4">
        <v>5</v>
      </c>
      <c r="E4" s="2">
        <v>45301</v>
      </c>
      <c r="F4" t="s">
        <v>28</v>
      </c>
      <c r="G4" s="3">
        <v>0.15</v>
      </c>
      <c r="H4" t="s">
        <v>31</v>
      </c>
      <c r="I4" t="str">
        <f>IFERROR(VLOOKUP(tbl_Practice[[#This Row],[CustomerID]],Customers!$A:$G,2,FALSE),"Unknown")</f>
        <v>Robert Johnson</v>
      </c>
      <c r="J4" t="str">
        <f>TRIM(PROPER(tbl_Practice[[#This Row],[CustomerName]]))</f>
        <v>Robert Johnson</v>
      </c>
      <c r="K4" t="str">
        <f>IFERROR(VLOOKUP(tbl_Practice[[#This Row],[CustomerID]],Customers!$A:$G,4,FALSE),"Unknown")</f>
        <v>Bronze</v>
      </c>
      <c r="L4" t="str">
        <f>IFERROR(VLOOKUP(tbl_Practice[[#This Row],[CustomerID]],Customers!$A:$G,6,FALSE),"Unknown")</f>
        <v>Chicago</v>
      </c>
      <c r="M4" t="str">
        <f>TEXT(tbl_Practice[[#This Row],[OrderDate]],"mmmm")</f>
        <v>January</v>
      </c>
      <c r="N4">
        <f>YEAR(tbl_Practice[[#This Row],[OrderDate]])</f>
        <v>2024</v>
      </c>
      <c r="O4" t="str">
        <f>TEXT(tbl_Practice[[#This Row],[OrderDate]],"mmm-yy")</f>
        <v>Jan-24</v>
      </c>
      <c r="P4" s="7" t="str">
        <f>"Q"&amp;INT((MONTH(tbl_Practice[[#This Row],[OrderDate]])-1)/3)+1&amp;"-"&amp;YEAR(tbl_Practice[[#This Row],[OrderDate]])</f>
        <v>Q1-2024</v>
      </c>
      <c r="Q4" s="9">
        <f>IFERROR(VLOOKUP(tbl_Practice[[#This Row],[ProductID]],Products!$A:$G,4,FALSE),0)</f>
        <v>89.99</v>
      </c>
      <c r="R4" s="9" t="str">
        <f>IFERROR(VLOOKUP(tbl_Practice[[#This Row],[ProductID]],Products!$A:$G,3,FALSE),"Unknown")</f>
        <v>Electronics</v>
      </c>
      <c r="S4" s="11">
        <f>VALUE(SUBSTITUTE(tbl_Practice[[#This Row],[Discount]], "%", ""))</f>
        <v>0.15</v>
      </c>
      <c r="T4" s="9">
        <f>tbl_Practice[[#This Row],[Quantity]]*tbl_Practice[[#This Row],[UnitPrice]]*(1-tbl_Practice[[#This Row],[DiscountValue]])</f>
        <v>382.45749999999998</v>
      </c>
      <c r="U4" s="9" t="str">
        <f>IF(tbl_Practice[[#This Row],[Revenue]]&gt;500,"Large","Standard")</f>
        <v>Standard</v>
      </c>
      <c r="V4" s="9">
        <f>(tbl_Practice[[#This Row],[UnitPrice]]-IFERROR(VLOOKUP(tbl_Practice[[#This Row],[ProductID]],Products!$A:$G,5,FALSE),0))*tbl_Practice[[#This Row],[Quantity]]*(1-tbl_Practice[[#This Row],[DiscountValue]])</f>
        <v>191.20749999999998</v>
      </c>
    </row>
    <row r="5" spans="1:22" x14ac:dyDescent="0.25">
      <c r="A5">
        <v>1004</v>
      </c>
      <c r="B5" t="s">
        <v>8</v>
      </c>
      <c r="C5" t="s">
        <v>19</v>
      </c>
      <c r="D5">
        <v>1</v>
      </c>
      <c r="E5" s="2">
        <v>45303</v>
      </c>
      <c r="F5" t="s">
        <v>26</v>
      </c>
      <c r="G5" s="3">
        <v>0.05</v>
      </c>
      <c r="H5" t="s">
        <v>31</v>
      </c>
      <c r="I5" t="str">
        <f>IFERROR(VLOOKUP(tbl_Practice[[#This Row],[CustomerID]],Customers!$A:$G,2,FALSE),"Unknown")</f>
        <v>John Smith</v>
      </c>
      <c r="J5" t="str">
        <f>TRIM(PROPER(tbl_Practice[[#This Row],[CustomerName]]))</f>
        <v>John Smith</v>
      </c>
      <c r="K5" t="str">
        <f>IFERROR(VLOOKUP(tbl_Practice[[#This Row],[CustomerID]],Customers!$A:$G,4,FALSE),"Unknown")</f>
        <v>Gold</v>
      </c>
      <c r="L5" t="str">
        <f>IFERROR(VLOOKUP(tbl_Practice[[#This Row],[CustomerID]],Customers!$A:$G,6,FALSE),"Unknown")</f>
        <v>New York</v>
      </c>
      <c r="M5" t="str">
        <f>TEXT(tbl_Practice[[#This Row],[OrderDate]],"mmmm")</f>
        <v>January</v>
      </c>
      <c r="N5">
        <f>YEAR(tbl_Practice[[#This Row],[OrderDate]])</f>
        <v>2024</v>
      </c>
      <c r="O5" t="str">
        <f>TEXT(tbl_Practice[[#This Row],[OrderDate]],"mmm-yy")</f>
        <v>Jan-24</v>
      </c>
      <c r="P5" s="7" t="str">
        <f>"Q"&amp;INT((MONTH(tbl_Practice[[#This Row],[OrderDate]])-1)/3)+1&amp;"-"&amp;YEAR(tbl_Practice[[#This Row],[OrderDate]])</f>
        <v>Q1-2024</v>
      </c>
      <c r="Q5" s="9">
        <f>IFERROR(VLOOKUP(tbl_Practice[[#This Row],[ProductID]],Products!$A:$G,4,FALSE),0)</f>
        <v>199.99</v>
      </c>
      <c r="R5" s="9" t="str">
        <f>IFERROR(VLOOKUP(tbl_Practice[[#This Row],[ProductID]],Products!$A:$G,3,FALSE),"Unknown")</f>
        <v>Electronics</v>
      </c>
      <c r="S5" s="11">
        <f>VALUE(SUBSTITUTE(tbl_Practice[[#This Row],[Discount]], "%", ""))</f>
        <v>0.05</v>
      </c>
      <c r="T5" s="9">
        <f>tbl_Practice[[#This Row],[Quantity]]*tbl_Practice[[#This Row],[UnitPrice]]*(1-tbl_Practice[[#This Row],[DiscountValue]])</f>
        <v>189.9905</v>
      </c>
      <c r="U5" s="9" t="str">
        <f>IF(tbl_Practice[[#This Row],[Revenue]]&gt;500,"Large","Standard")</f>
        <v>Standard</v>
      </c>
      <c r="V5" s="9">
        <f>(tbl_Practice[[#This Row],[UnitPrice]]-IFERROR(VLOOKUP(tbl_Practice[[#This Row],[ProductID]],Products!$A:$G,5,FALSE),0))*tbl_Practice[[#This Row],[Quantity]]*(1-tbl_Practice[[#This Row],[DiscountValue]])</f>
        <v>75.990500000000011</v>
      </c>
    </row>
    <row r="6" spans="1:22" x14ac:dyDescent="0.25">
      <c r="A6">
        <v>1005</v>
      </c>
      <c r="B6" t="s">
        <v>11</v>
      </c>
      <c r="C6" t="s">
        <v>20</v>
      </c>
      <c r="D6">
        <v>3</v>
      </c>
      <c r="E6" s="2">
        <v>45306</v>
      </c>
      <c r="F6" t="s">
        <v>29</v>
      </c>
      <c r="G6" s="3">
        <v>0</v>
      </c>
      <c r="H6" t="s">
        <v>31</v>
      </c>
      <c r="I6" t="str">
        <f>IFERROR(VLOOKUP(tbl_Practice[[#This Row],[CustomerID]],Customers!$A:$G,2,FALSE),"Unknown")</f>
        <v>Maria Garcia</v>
      </c>
      <c r="J6" t="str">
        <f>TRIM(PROPER(tbl_Practice[[#This Row],[CustomerName]]))</f>
        <v>Maria Garcia</v>
      </c>
      <c r="K6" t="str">
        <f>IFERROR(VLOOKUP(tbl_Practice[[#This Row],[CustomerID]],Customers!$A:$G,4,FALSE),"Unknown")</f>
        <v>Gold</v>
      </c>
      <c r="L6" t="str">
        <f>IFERROR(VLOOKUP(tbl_Practice[[#This Row],[CustomerID]],Customers!$A:$G,6,FALSE),"Unknown")</f>
        <v>Houston</v>
      </c>
      <c r="M6" t="str">
        <f>TEXT(tbl_Practice[[#This Row],[OrderDate]],"mmmm")</f>
        <v>January</v>
      </c>
      <c r="N6">
        <f>YEAR(tbl_Practice[[#This Row],[OrderDate]])</f>
        <v>2024</v>
      </c>
      <c r="O6" t="str">
        <f>TEXT(tbl_Practice[[#This Row],[OrderDate]],"mmm-yy")</f>
        <v>Jan-24</v>
      </c>
      <c r="P6" s="7" t="str">
        <f>"Q"&amp;INT((MONTH(tbl_Practice[[#This Row],[OrderDate]])-1)/3)+1&amp;"-"&amp;YEAR(tbl_Practice[[#This Row],[OrderDate]])</f>
        <v>Q1-2024</v>
      </c>
      <c r="Q6" s="9">
        <f>IFERROR(VLOOKUP(tbl_Practice[[#This Row],[ProductID]],Products!$A:$G,4,FALSE),0)</f>
        <v>39.99</v>
      </c>
      <c r="R6" s="9" t="str">
        <f>IFERROR(VLOOKUP(tbl_Practice[[#This Row],[ProductID]],Products!$A:$G,3,FALSE),"Unknown")</f>
        <v>Home</v>
      </c>
      <c r="S6" s="11">
        <f>VALUE(SUBSTITUTE(tbl_Practice[[#This Row],[Discount]], "%", ""))</f>
        <v>0</v>
      </c>
      <c r="T6" s="9">
        <f>tbl_Practice[[#This Row],[Quantity]]*tbl_Practice[[#This Row],[UnitPrice]]*(1-tbl_Practice[[#This Row],[DiscountValue]])</f>
        <v>119.97</v>
      </c>
      <c r="U6" s="9" t="str">
        <f>IF(tbl_Practice[[#This Row],[Revenue]]&gt;500,"Large","Standard")</f>
        <v>Standard</v>
      </c>
      <c r="V6" s="9">
        <f>(tbl_Practice[[#This Row],[UnitPrice]]-IFERROR(VLOOKUP(tbl_Practice[[#This Row],[ProductID]],Products!$A:$G,5,FALSE),0))*tbl_Practice[[#This Row],[Quantity]]*(1-tbl_Practice[[#This Row],[DiscountValue]])</f>
        <v>65.97</v>
      </c>
    </row>
    <row r="7" spans="1:22" x14ac:dyDescent="0.25">
      <c r="A7">
        <v>1006</v>
      </c>
      <c r="B7" t="s">
        <v>12</v>
      </c>
      <c r="C7" t="s">
        <v>16</v>
      </c>
      <c r="D7">
        <v>10</v>
      </c>
      <c r="E7" s="2">
        <v>45309</v>
      </c>
      <c r="F7" t="s">
        <v>27</v>
      </c>
      <c r="G7" s="3">
        <v>0.2</v>
      </c>
      <c r="H7" t="s">
        <v>31</v>
      </c>
      <c r="I7" t="str">
        <f>IFERROR(VLOOKUP(tbl_Practice[[#This Row],[CustomerID]],Customers!$A:$G,2,FALSE),"Unknown")</f>
        <v>David Brown</v>
      </c>
      <c r="J7" t="str">
        <f>TRIM(PROPER(tbl_Practice[[#This Row],[CustomerName]]))</f>
        <v>David Brown</v>
      </c>
      <c r="K7" t="str">
        <f>IFERROR(VLOOKUP(tbl_Practice[[#This Row],[CustomerID]],Customers!$A:$G,4,FALSE),"Unknown")</f>
        <v>Silver</v>
      </c>
      <c r="L7" t="str">
        <f>IFERROR(VLOOKUP(tbl_Practice[[#This Row],[CustomerID]],Customers!$A:$G,6,FALSE),"Unknown")</f>
        <v>Phoenix</v>
      </c>
      <c r="M7" t="str">
        <f>TEXT(tbl_Practice[[#This Row],[OrderDate]],"mmmm")</f>
        <v>January</v>
      </c>
      <c r="N7">
        <f>YEAR(tbl_Practice[[#This Row],[OrderDate]])</f>
        <v>2024</v>
      </c>
      <c r="O7" t="str">
        <f>TEXT(tbl_Practice[[#This Row],[OrderDate]],"mmm-yy")</f>
        <v>Jan-24</v>
      </c>
      <c r="P7" s="7" t="str">
        <f>"Q"&amp;INT((MONTH(tbl_Practice[[#This Row],[OrderDate]])-1)/3)+1&amp;"-"&amp;YEAR(tbl_Practice[[#This Row],[OrderDate]])</f>
        <v>Q1-2024</v>
      </c>
      <c r="Q7" s="9">
        <f>IFERROR(VLOOKUP(tbl_Practice[[#This Row],[ProductID]],Products!$A:$G,4,FALSE),0)</f>
        <v>29.99</v>
      </c>
      <c r="R7" s="9" t="str">
        <f>IFERROR(VLOOKUP(tbl_Practice[[#This Row],[ProductID]],Products!$A:$G,3,FALSE),"Unknown")</f>
        <v>Electronics</v>
      </c>
      <c r="S7" s="11">
        <f>VALUE(SUBSTITUTE(tbl_Practice[[#This Row],[Discount]], "%", ""))</f>
        <v>0.2</v>
      </c>
      <c r="T7" s="9">
        <f>tbl_Practice[[#This Row],[Quantity]]*tbl_Practice[[#This Row],[UnitPrice]]*(1-tbl_Practice[[#This Row],[DiscountValue]])</f>
        <v>239.92</v>
      </c>
      <c r="U7" s="9" t="str">
        <f>IF(tbl_Practice[[#This Row],[Revenue]]&gt;500,"Large","Standard")</f>
        <v>Standard</v>
      </c>
      <c r="V7" s="9">
        <f>(tbl_Practice[[#This Row],[UnitPrice]]-IFERROR(VLOOKUP(tbl_Practice[[#This Row],[ProductID]],Products!$A:$G,5,FALSE),0))*tbl_Practice[[#This Row],[Quantity]]*(1-tbl_Practice[[#This Row],[DiscountValue]])</f>
        <v>119.91999999999999</v>
      </c>
    </row>
    <row r="8" spans="1:22" x14ac:dyDescent="0.25">
      <c r="A8">
        <v>1007</v>
      </c>
      <c r="B8" t="s">
        <v>9</v>
      </c>
      <c r="C8" t="s">
        <v>21</v>
      </c>
      <c r="D8">
        <v>2</v>
      </c>
      <c r="E8" s="2">
        <v>45311</v>
      </c>
      <c r="F8" t="s">
        <v>28</v>
      </c>
      <c r="G8" s="3">
        <v>0.1</v>
      </c>
      <c r="H8" t="s">
        <v>31</v>
      </c>
      <c r="I8" t="str">
        <f>IFERROR(VLOOKUP(tbl_Practice[[#This Row],[CustomerID]],Customers!$A:$G,2,FALSE),"Unknown")</f>
        <v>Jane Doe</v>
      </c>
      <c r="J8" t="str">
        <f>TRIM(PROPER(tbl_Practice[[#This Row],[CustomerName]]))</f>
        <v>Jane Doe</v>
      </c>
      <c r="K8" t="str">
        <f>IFERROR(VLOOKUP(tbl_Practice[[#This Row],[CustomerID]],Customers!$A:$G,4,FALSE),"Unknown")</f>
        <v>Silver</v>
      </c>
      <c r="L8" t="str">
        <f>IFERROR(VLOOKUP(tbl_Practice[[#This Row],[CustomerID]],Customers!$A:$G,6,FALSE),"Unknown")</f>
        <v>Los Angeles</v>
      </c>
      <c r="M8" t="str">
        <f>TEXT(tbl_Practice[[#This Row],[OrderDate]],"mmmm")</f>
        <v>January</v>
      </c>
      <c r="N8">
        <f>YEAR(tbl_Practice[[#This Row],[OrderDate]])</f>
        <v>2024</v>
      </c>
      <c r="O8" t="str">
        <f>TEXT(tbl_Practice[[#This Row],[OrderDate]],"mmm-yy")</f>
        <v>Jan-24</v>
      </c>
      <c r="P8" s="7" t="str">
        <f>"Q"&amp;INT((MONTH(tbl_Practice[[#This Row],[OrderDate]])-1)/3)+1&amp;"-"&amp;YEAR(tbl_Practice[[#This Row],[OrderDate]])</f>
        <v>Q1-2024</v>
      </c>
      <c r="Q8" s="9">
        <f>IFERROR(VLOOKUP(tbl_Practice[[#This Row],[ProductID]],Products!$A:$G,4,FALSE),0)</f>
        <v>59.99</v>
      </c>
      <c r="R8" s="9" t="str">
        <f>IFERROR(VLOOKUP(tbl_Practice[[#This Row],[ProductID]],Products!$A:$G,3,FALSE),"Unknown")</f>
        <v>Electronics</v>
      </c>
      <c r="S8" s="11">
        <f>VALUE(SUBSTITUTE(tbl_Practice[[#This Row],[Discount]], "%", ""))</f>
        <v>0.1</v>
      </c>
      <c r="T8" s="9">
        <f>tbl_Practice[[#This Row],[Quantity]]*tbl_Practice[[#This Row],[UnitPrice]]*(1-tbl_Practice[[#This Row],[DiscountValue]])</f>
        <v>107.982</v>
      </c>
      <c r="U8" s="9" t="str">
        <f>IF(tbl_Practice[[#This Row],[Revenue]]&gt;500,"Large","Standard")</f>
        <v>Standard</v>
      </c>
      <c r="V8" s="9">
        <f>(tbl_Practice[[#This Row],[UnitPrice]]-IFERROR(VLOOKUP(tbl_Practice[[#This Row],[ProductID]],Products!$A:$G,5,FALSE),0))*tbl_Practice[[#This Row],[Quantity]]*(1-tbl_Practice[[#This Row],[DiscountValue]])</f>
        <v>57.582000000000008</v>
      </c>
    </row>
    <row r="9" spans="1:22" x14ac:dyDescent="0.25">
      <c r="A9">
        <v>1008</v>
      </c>
      <c r="B9" t="s">
        <v>13</v>
      </c>
      <c r="C9" t="s">
        <v>22</v>
      </c>
      <c r="D9">
        <v>1</v>
      </c>
      <c r="E9" s="2">
        <v>45313</v>
      </c>
      <c r="F9" t="s">
        <v>26</v>
      </c>
      <c r="G9" s="3">
        <v>0</v>
      </c>
      <c r="H9" t="s">
        <v>32</v>
      </c>
      <c r="I9" t="str">
        <f>IFERROR(VLOOKUP(tbl_Practice[[#This Row],[CustomerID]],Customers!$A:$G,2,FALSE),"Unknown")</f>
        <v>Lisa Wilson</v>
      </c>
      <c r="J9" t="str">
        <f>TRIM(PROPER(tbl_Practice[[#This Row],[CustomerName]]))</f>
        <v>Lisa Wilson</v>
      </c>
      <c r="K9" t="str">
        <f>IFERROR(VLOOKUP(tbl_Practice[[#This Row],[CustomerID]],Customers!$A:$G,4,FALSE),"Unknown")</f>
        <v>Bronze</v>
      </c>
      <c r="L9" t="str">
        <f>IFERROR(VLOOKUP(tbl_Practice[[#This Row],[CustomerID]],Customers!$A:$G,6,FALSE),"Unknown")</f>
        <v>Philadelphia</v>
      </c>
      <c r="M9" t="str">
        <f>TEXT(tbl_Practice[[#This Row],[OrderDate]],"mmmm")</f>
        <v>January</v>
      </c>
      <c r="N9">
        <f>YEAR(tbl_Practice[[#This Row],[OrderDate]])</f>
        <v>2024</v>
      </c>
      <c r="O9" t="str">
        <f>TEXT(tbl_Practice[[#This Row],[OrderDate]],"mmm-yy")</f>
        <v>Jan-24</v>
      </c>
      <c r="P9" s="7" t="str">
        <f>"Q"&amp;INT((MONTH(tbl_Practice[[#This Row],[OrderDate]])-1)/3)+1&amp;"-"&amp;YEAR(tbl_Practice[[#This Row],[OrderDate]])</f>
        <v>Q1-2024</v>
      </c>
      <c r="Q9" s="9">
        <f>IFERROR(VLOOKUP(tbl_Practice[[#This Row],[ProductID]],Products!$A:$G,4,FALSE),0)</f>
        <v>24.99</v>
      </c>
      <c r="R9" s="9" t="str">
        <f>IFERROR(VLOOKUP(tbl_Practice[[#This Row],[ProductID]],Products!$A:$G,3,FALSE),"Unknown")</f>
        <v>Office Supplies</v>
      </c>
      <c r="S9" s="11">
        <f>VALUE(SUBSTITUTE(tbl_Practice[[#This Row],[Discount]], "%", ""))</f>
        <v>0</v>
      </c>
      <c r="T9" s="9">
        <f>tbl_Practice[[#This Row],[Quantity]]*tbl_Practice[[#This Row],[UnitPrice]]*(1-tbl_Practice[[#This Row],[DiscountValue]])</f>
        <v>24.99</v>
      </c>
      <c r="U9" s="9" t="str">
        <f>IF(tbl_Practice[[#This Row],[Revenue]]&gt;500,"Large","Standard")</f>
        <v>Standard</v>
      </c>
      <c r="V9" s="9">
        <f>(tbl_Practice[[#This Row],[UnitPrice]]-IFERROR(VLOOKUP(tbl_Practice[[#This Row],[ProductID]],Products!$A:$G,5,FALSE),0))*tbl_Practice[[#This Row],[Quantity]]*(1-tbl_Practice[[#This Row],[DiscountValue]])</f>
        <v>14.989999999999998</v>
      </c>
    </row>
    <row r="10" spans="1:22" x14ac:dyDescent="0.25">
      <c r="A10">
        <v>1009</v>
      </c>
      <c r="B10" t="s">
        <v>14</v>
      </c>
      <c r="C10" t="s">
        <v>23</v>
      </c>
      <c r="D10">
        <v>4</v>
      </c>
      <c r="E10" s="2">
        <v>45316</v>
      </c>
      <c r="F10" t="s">
        <v>29</v>
      </c>
      <c r="G10" s="3">
        <v>0.18</v>
      </c>
      <c r="H10" t="s">
        <v>31</v>
      </c>
      <c r="I10" t="str">
        <f>IFERROR(VLOOKUP(tbl_Practice[[#This Row],[CustomerID]],Customers!$A:$G,2,FALSE),"Unknown")</f>
        <v>Michael Lee</v>
      </c>
      <c r="J10" t="str">
        <f>TRIM(PROPER(tbl_Practice[[#This Row],[CustomerName]]))</f>
        <v>Michael Lee</v>
      </c>
      <c r="K10" t="str">
        <f>IFERROR(VLOOKUP(tbl_Practice[[#This Row],[CustomerID]],Customers!$A:$G,4,FALSE),"Unknown")</f>
        <v>Gold</v>
      </c>
      <c r="L10" t="str">
        <f>IFERROR(VLOOKUP(tbl_Practice[[#This Row],[CustomerID]],Customers!$A:$G,6,FALSE),"Unknown")</f>
        <v>San Antonio</v>
      </c>
      <c r="M10" t="str">
        <f>TEXT(tbl_Practice[[#This Row],[OrderDate]],"mmmm")</f>
        <v>January</v>
      </c>
      <c r="N10">
        <f>YEAR(tbl_Practice[[#This Row],[OrderDate]])</f>
        <v>2024</v>
      </c>
      <c r="O10" t="str">
        <f>TEXT(tbl_Practice[[#This Row],[OrderDate]],"mmm-yy")</f>
        <v>Jan-24</v>
      </c>
      <c r="P10" s="7" t="str">
        <f>"Q"&amp;INT((MONTH(tbl_Practice[[#This Row],[OrderDate]])-1)/3)+1&amp;"-"&amp;YEAR(tbl_Practice[[#This Row],[OrderDate]])</f>
        <v>Q1-2024</v>
      </c>
      <c r="Q10" s="9">
        <f>IFERROR(VLOOKUP(tbl_Practice[[#This Row],[ProductID]],Products!$A:$G,4,FALSE),0)</f>
        <v>79.989999999999995</v>
      </c>
      <c r="R10" s="9" t="str">
        <f>IFERROR(VLOOKUP(tbl_Practice[[#This Row],[ProductID]],Products!$A:$G,3,FALSE),"Unknown")</f>
        <v>Home</v>
      </c>
      <c r="S10" s="11">
        <f>VALUE(SUBSTITUTE(tbl_Practice[[#This Row],[Discount]], "%", ""))</f>
        <v>0.18</v>
      </c>
      <c r="T10" s="9">
        <f>tbl_Practice[[#This Row],[Quantity]]*tbl_Practice[[#This Row],[UnitPrice]]*(1-tbl_Practice[[#This Row],[DiscountValue]])</f>
        <v>262.36720000000003</v>
      </c>
      <c r="U10" s="9" t="str">
        <f>IF(tbl_Practice[[#This Row],[Revenue]]&gt;500,"Large","Standard")</f>
        <v>Standard</v>
      </c>
      <c r="V10" s="9">
        <f>(tbl_Practice[[#This Row],[UnitPrice]]-IFERROR(VLOOKUP(tbl_Practice[[#This Row],[ProductID]],Products!$A:$G,5,FALSE),0))*tbl_Practice[[#This Row],[Quantity]]*(1-tbl_Practice[[#This Row],[DiscountValue]])</f>
        <v>131.16719999999998</v>
      </c>
    </row>
    <row r="11" spans="1:22" x14ac:dyDescent="0.25">
      <c r="A11">
        <v>1010</v>
      </c>
      <c r="B11" t="s">
        <v>10</v>
      </c>
      <c r="C11" t="s">
        <v>24</v>
      </c>
      <c r="D11">
        <v>1</v>
      </c>
      <c r="E11" s="2">
        <v>45319</v>
      </c>
      <c r="F11" t="s">
        <v>27</v>
      </c>
      <c r="G11" s="3">
        <v>0.08</v>
      </c>
      <c r="H11" t="s">
        <v>34</v>
      </c>
      <c r="I11" t="str">
        <f>IFERROR(VLOOKUP(tbl_Practice[[#This Row],[CustomerID]],Customers!$A:$G,2,FALSE),"Unknown")</f>
        <v>Robert Johnson</v>
      </c>
      <c r="J11" t="str">
        <f>TRIM(PROPER(tbl_Practice[[#This Row],[CustomerName]]))</f>
        <v>Robert Johnson</v>
      </c>
      <c r="K11" t="str">
        <f>IFERROR(VLOOKUP(tbl_Practice[[#This Row],[CustomerID]],Customers!$A:$G,4,FALSE),"Unknown")</f>
        <v>Bronze</v>
      </c>
      <c r="L11" t="str">
        <f>IFERROR(VLOOKUP(tbl_Practice[[#This Row],[CustomerID]],Customers!$A:$G,6,FALSE),"Unknown")</f>
        <v>Chicago</v>
      </c>
      <c r="M11" t="str">
        <f>TEXT(tbl_Practice[[#This Row],[OrderDate]],"mmmm")</f>
        <v>January</v>
      </c>
      <c r="N11">
        <f>YEAR(tbl_Practice[[#This Row],[OrderDate]])</f>
        <v>2024</v>
      </c>
      <c r="O11" t="str">
        <f>TEXT(tbl_Practice[[#This Row],[OrderDate]],"mmm-yy")</f>
        <v>Jan-24</v>
      </c>
      <c r="P11" s="7" t="str">
        <f>"Q"&amp;INT((MONTH(tbl_Practice[[#This Row],[OrderDate]])-1)/3)+1&amp;"-"&amp;YEAR(tbl_Practice[[#This Row],[OrderDate]])</f>
        <v>Q1-2024</v>
      </c>
      <c r="Q11" s="9">
        <f>IFERROR(VLOOKUP(tbl_Practice[[#This Row],[ProductID]],Products!$A:$G,4,FALSE),0)</f>
        <v>49.99</v>
      </c>
      <c r="R11" s="9" t="str">
        <f>IFERROR(VLOOKUP(tbl_Practice[[#This Row],[ProductID]],Products!$A:$G,3,FALSE),"Unknown")</f>
        <v>Electronics</v>
      </c>
      <c r="S11" s="11">
        <f>VALUE(SUBSTITUTE(tbl_Practice[[#This Row],[Discount]], "%", ""))</f>
        <v>0.08</v>
      </c>
      <c r="T11" s="9">
        <f>tbl_Practice[[#This Row],[Quantity]]*tbl_Practice[[#This Row],[UnitPrice]]*(1-tbl_Practice[[#This Row],[DiscountValue]])</f>
        <v>45.990800000000007</v>
      </c>
      <c r="U11" s="9" t="str">
        <f>IF(tbl_Practice[[#This Row],[Revenue]]&gt;500,"Large","Standard")</f>
        <v>Standard</v>
      </c>
      <c r="V11" s="9">
        <f>(tbl_Practice[[#This Row],[UnitPrice]]-IFERROR(VLOOKUP(tbl_Practice[[#This Row],[ProductID]],Products!$A:$G,5,FALSE),0))*tbl_Practice[[#This Row],[Quantity]]*(1-tbl_Practice[[#This Row],[DiscountValue]])</f>
        <v>22.990800000000004</v>
      </c>
    </row>
    <row r="12" spans="1:22" x14ac:dyDescent="0.25">
      <c r="A12">
        <v>1011</v>
      </c>
      <c r="B12" t="s">
        <v>15</v>
      </c>
      <c r="C12" t="s">
        <v>25</v>
      </c>
      <c r="D12">
        <v>6</v>
      </c>
      <c r="E12" s="2">
        <v>45321</v>
      </c>
      <c r="F12" t="s">
        <v>28</v>
      </c>
      <c r="G12" s="3">
        <v>0</v>
      </c>
      <c r="H12" t="s">
        <v>32</v>
      </c>
      <c r="I12" t="str">
        <f>IFERROR(VLOOKUP(tbl_Practice[[#This Row],[CustomerID]],Customers!$A:$G,2,FALSE),"Unknown")</f>
        <v>Sarah Miller</v>
      </c>
      <c r="J12" t="str">
        <f>TRIM(PROPER(tbl_Practice[[#This Row],[CustomerName]]))</f>
        <v>Sarah Miller</v>
      </c>
      <c r="K12" t="str">
        <f>IFERROR(VLOOKUP(tbl_Practice[[#This Row],[CustomerID]],Customers!$A:$G,4,FALSE),"Unknown")</f>
        <v>Bronze</v>
      </c>
      <c r="L12" t="str">
        <f>IFERROR(VLOOKUP(tbl_Practice[[#This Row],[CustomerID]],Customers!$A:$G,6,FALSE),"Unknown")</f>
        <v>San Diego</v>
      </c>
      <c r="M12" t="str">
        <f>TEXT(tbl_Practice[[#This Row],[OrderDate]],"mmmm")</f>
        <v>January</v>
      </c>
      <c r="N12">
        <f>YEAR(tbl_Practice[[#This Row],[OrderDate]])</f>
        <v>2024</v>
      </c>
      <c r="O12" t="str">
        <f>TEXT(tbl_Practice[[#This Row],[OrderDate]],"mmm-yy")</f>
        <v>Jan-24</v>
      </c>
      <c r="P12" s="7" t="str">
        <f>"Q"&amp;INT((MONTH(tbl_Practice[[#This Row],[OrderDate]])-1)/3)+1&amp;"-"&amp;YEAR(tbl_Practice[[#This Row],[OrderDate]])</f>
        <v>Q1-2024</v>
      </c>
      <c r="Q12" s="9">
        <f>IFERROR(VLOOKUP(tbl_Practice[[#This Row],[ProductID]],Products!$A:$G,4,FALSE),0)</f>
        <v>149.99</v>
      </c>
      <c r="R12" s="9" t="str">
        <f>IFERROR(VLOOKUP(tbl_Practice[[#This Row],[ProductID]],Products!$A:$G,3,FALSE),"Unknown")</f>
        <v>Furniture</v>
      </c>
      <c r="S12" s="11">
        <f>VALUE(SUBSTITUTE(tbl_Practice[[#This Row],[Discount]], "%", ""))</f>
        <v>0</v>
      </c>
      <c r="T12" s="9">
        <f>tbl_Practice[[#This Row],[Quantity]]*tbl_Practice[[#This Row],[UnitPrice]]*(1-tbl_Practice[[#This Row],[DiscountValue]])</f>
        <v>899.94</v>
      </c>
      <c r="U12" s="9" t="str">
        <f>IF(tbl_Practice[[#This Row],[Revenue]]&gt;500,"Large","Standard")</f>
        <v>Large</v>
      </c>
      <c r="V12" s="9">
        <f>(tbl_Practice[[#This Row],[UnitPrice]]-IFERROR(VLOOKUP(tbl_Practice[[#This Row],[ProductID]],Products!$A:$G,5,FALSE),0))*tbl_Practice[[#This Row],[Quantity]]*(1-tbl_Practice[[#This Row],[DiscountValue]])</f>
        <v>359.94000000000005</v>
      </c>
    </row>
    <row r="13" spans="1:22" x14ac:dyDescent="0.25">
      <c r="A13">
        <v>1012</v>
      </c>
      <c r="B13" t="s">
        <v>8</v>
      </c>
      <c r="C13" t="s">
        <v>17</v>
      </c>
      <c r="D13">
        <v>2</v>
      </c>
      <c r="E13" s="2">
        <v>45324</v>
      </c>
      <c r="F13" t="s">
        <v>26</v>
      </c>
      <c r="G13" s="3">
        <v>0.25</v>
      </c>
      <c r="H13" t="s">
        <v>31</v>
      </c>
      <c r="I13" t="str">
        <f>IFERROR(VLOOKUP(tbl_Practice[[#This Row],[CustomerID]],Customers!$A:$G,2,FALSE),"Unknown")</f>
        <v>John Smith</v>
      </c>
      <c r="J13" t="str">
        <f>TRIM(PROPER(tbl_Practice[[#This Row],[CustomerName]]))</f>
        <v>John Smith</v>
      </c>
      <c r="K13" t="str">
        <f>IFERROR(VLOOKUP(tbl_Practice[[#This Row],[CustomerID]],Customers!$A:$G,4,FALSE),"Unknown")</f>
        <v>Gold</v>
      </c>
      <c r="L13" t="str">
        <f>IFERROR(VLOOKUP(tbl_Practice[[#This Row],[CustomerID]],Customers!$A:$G,6,FALSE),"Unknown")</f>
        <v>New York</v>
      </c>
      <c r="M13" t="str">
        <f>TEXT(tbl_Practice[[#This Row],[OrderDate]],"mmmm")</f>
        <v>February</v>
      </c>
      <c r="N13">
        <f>YEAR(tbl_Practice[[#This Row],[OrderDate]])</f>
        <v>2024</v>
      </c>
      <c r="O13" t="str">
        <f>TEXT(tbl_Practice[[#This Row],[OrderDate]],"mmm-yy")</f>
        <v>Feb-24</v>
      </c>
      <c r="P13" s="7" t="str">
        <f>"Q"&amp;INT((MONTH(tbl_Practice[[#This Row],[OrderDate]])-1)/3)+1&amp;"-"&amp;YEAR(tbl_Practice[[#This Row],[OrderDate]])</f>
        <v>Q1-2024</v>
      </c>
      <c r="Q13" s="9">
        <f>IFERROR(VLOOKUP(tbl_Practice[[#This Row],[ProductID]],Products!$A:$G,4,FALSE),0)</f>
        <v>299.99</v>
      </c>
      <c r="R13" s="9" t="str">
        <f>IFERROR(VLOOKUP(tbl_Practice[[#This Row],[ProductID]],Products!$A:$G,3,FALSE),"Unknown")</f>
        <v>Furniture</v>
      </c>
      <c r="S13" s="11">
        <f>VALUE(SUBSTITUTE(tbl_Practice[[#This Row],[Discount]], "%", ""))</f>
        <v>0.25</v>
      </c>
      <c r="T13" s="9">
        <f>tbl_Practice[[#This Row],[Quantity]]*tbl_Practice[[#This Row],[UnitPrice]]*(1-tbl_Practice[[#This Row],[DiscountValue]])</f>
        <v>449.98500000000001</v>
      </c>
      <c r="U13" s="9" t="str">
        <f>IF(tbl_Practice[[#This Row],[Revenue]]&gt;500,"Large","Standard")</f>
        <v>Standard</v>
      </c>
      <c r="V13" s="9">
        <f>(tbl_Practice[[#This Row],[UnitPrice]]-IFERROR(VLOOKUP(tbl_Practice[[#This Row],[ProductID]],Products!$A:$G,5,FALSE),0))*tbl_Practice[[#This Row],[Quantity]]*(1-tbl_Practice[[#This Row],[DiscountValue]])</f>
        <v>179.98500000000001</v>
      </c>
    </row>
    <row r="14" spans="1:22" x14ac:dyDescent="0.25">
      <c r="A14">
        <v>1013</v>
      </c>
      <c r="B14" t="s">
        <v>11</v>
      </c>
      <c r="C14" t="s">
        <v>18</v>
      </c>
      <c r="D14">
        <v>3</v>
      </c>
      <c r="E14" s="2">
        <v>45327</v>
      </c>
      <c r="F14" t="s">
        <v>29</v>
      </c>
      <c r="G14" s="3">
        <v>0.05</v>
      </c>
      <c r="H14" t="s">
        <v>31</v>
      </c>
      <c r="I14" t="str">
        <f>IFERROR(VLOOKUP(tbl_Practice[[#This Row],[CustomerID]],Customers!$A:$G,2,FALSE),"Unknown")</f>
        <v>Maria Garcia</v>
      </c>
      <c r="J14" t="str">
        <f>TRIM(PROPER(tbl_Practice[[#This Row],[CustomerName]]))</f>
        <v>Maria Garcia</v>
      </c>
      <c r="K14" t="str">
        <f>IFERROR(VLOOKUP(tbl_Practice[[#This Row],[CustomerID]],Customers!$A:$G,4,FALSE),"Unknown")</f>
        <v>Gold</v>
      </c>
      <c r="L14" t="str">
        <f>IFERROR(VLOOKUP(tbl_Practice[[#This Row],[CustomerID]],Customers!$A:$G,6,FALSE),"Unknown")</f>
        <v>Houston</v>
      </c>
      <c r="M14" t="str">
        <f>TEXT(tbl_Practice[[#This Row],[OrderDate]],"mmmm")</f>
        <v>February</v>
      </c>
      <c r="N14">
        <f>YEAR(tbl_Practice[[#This Row],[OrderDate]])</f>
        <v>2024</v>
      </c>
      <c r="O14" t="str">
        <f>TEXT(tbl_Practice[[#This Row],[OrderDate]],"mmm-yy")</f>
        <v>Feb-24</v>
      </c>
      <c r="P14" s="7" t="str">
        <f>"Q"&amp;INT((MONTH(tbl_Practice[[#This Row],[OrderDate]])-1)/3)+1&amp;"-"&amp;YEAR(tbl_Practice[[#This Row],[OrderDate]])</f>
        <v>Q1-2024</v>
      </c>
      <c r="Q14" s="9">
        <f>IFERROR(VLOOKUP(tbl_Practice[[#This Row],[ProductID]],Products!$A:$G,4,FALSE),0)</f>
        <v>89.99</v>
      </c>
      <c r="R14" s="9" t="str">
        <f>IFERROR(VLOOKUP(tbl_Practice[[#This Row],[ProductID]],Products!$A:$G,3,FALSE),"Unknown")</f>
        <v>Electronics</v>
      </c>
      <c r="S14" s="11">
        <f>VALUE(SUBSTITUTE(tbl_Practice[[#This Row],[Discount]], "%", ""))</f>
        <v>0.05</v>
      </c>
      <c r="T14" s="9">
        <f>tbl_Practice[[#This Row],[Quantity]]*tbl_Practice[[#This Row],[UnitPrice]]*(1-tbl_Practice[[#This Row],[DiscountValue]])</f>
        <v>256.47149999999993</v>
      </c>
      <c r="U14" s="9" t="str">
        <f>IF(tbl_Practice[[#This Row],[Revenue]]&gt;500,"Large","Standard")</f>
        <v>Standard</v>
      </c>
      <c r="V14" s="9">
        <f>(tbl_Practice[[#This Row],[UnitPrice]]-IFERROR(VLOOKUP(tbl_Practice[[#This Row],[ProductID]],Products!$A:$G,5,FALSE),0))*tbl_Practice[[#This Row],[Quantity]]*(1-tbl_Practice[[#This Row],[DiscountValue]])</f>
        <v>128.22149999999996</v>
      </c>
    </row>
    <row r="15" spans="1:22" x14ac:dyDescent="0.25">
      <c r="A15">
        <v>1014</v>
      </c>
      <c r="B15" t="s">
        <v>12</v>
      </c>
      <c r="C15" t="s">
        <v>19</v>
      </c>
      <c r="D15">
        <v>7</v>
      </c>
      <c r="E15" s="2">
        <v>45330</v>
      </c>
      <c r="F15" t="s">
        <v>27</v>
      </c>
      <c r="G15" s="3">
        <v>0.1</v>
      </c>
      <c r="H15" t="s">
        <v>33</v>
      </c>
      <c r="I15" t="str">
        <f>IFERROR(VLOOKUP(tbl_Practice[[#This Row],[CustomerID]],Customers!$A:$G,2,FALSE),"Unknown")</f>
        <v>David Brown</v>
      </c>
      <c r="J15" t="str">
        <f>TRIM(PROPER(tbl_Practice[[#This Row],[CustomerName]]))</f>
        <v>David Brown</v>
      </c>
      <c r="K15" t="str">
        <f>IFERROR(VLOOKUP(tbl_Practice[[#This Row],[CustomerID]],Customers!$A:$G,4,FALSE),"Unknown")</f>
        <v>Silver</v>
      </c>
      <c r="L15" t="str">
        <f>IFERROR(VLOOKUP(tbl_Practice[[#This Row],[CustomerID]],Customers!$A:$G,6,FALSE),"Unknown")</f>
        <v>Phoenix</v>
      </c>
      <c r="M15" t="str">
        <f>TEXT(tbl_Practice[[#This Row],[OrderDate]],"mmmm")</f>
        <v>February</v>
      </c>
      <c r="N15">
        <f>YEAR(tbl_Practice[[#This Row],[OrderDate]])</f>
        <v>2024</v>
      </c>
      <c r="O15" t="str">
        <f>TEXT(tbl_Practice[[#This Row],[OrderDate]],"mmm-yy")</f>
        <v>Feb-24</v>
      </c>
      <c r="P15" s="7" t="str">
        <f>"Q"&amp;INT((MONTH(tbl_Practice[[#This Row],[OrderDate]])-1)/3)+1&amp;"-"&amp;YEAR(tbl_Practice[[#This Row],[OrderDate]])</f>
        <v>Q1-2024</v>
      </c>
      <c r="Q15" s="9">
        <f>IFERROR(VLOOKUP(tbl_Practice[[#This Row],[ProductID]],Products!$A:$G,4,FALSE),0)</f>
        <v>199.99</v>
      </c>
      <c r="R15" s="9" t="str">
        <f>IFERROR(VLOOKUP(tbl_Practice[[#This Row],[ProductID]],Products!$A:$G,3,FALSE),"Unknown")</f>
        <v>Electronics</v>
      </c>
      <c r="S15" s="11">
        <f>VALUE(SUBSTITUTE(tbl_Practice[[#This Row],[Discount]], "%", ""))</f>
        <v>0.1</v>
      </c>
      <c r="T15" s="9">
        <f>tbl_Practice[[#This Row],[Quantity]]*tbl_Practice[[#This Row],[UnitPrice]]*(1-tbl_Practice[[#This Row],[DiscountValue]])</f>
        <v>1259.9370000000001</v>
      </c>
      <c r="U15" s="9" t="str">
        <f>IF(tbl_Practice[[#This Row],[Revenue]]&gt;500,"Large","Standard")</f>
        <v>Large</v>
      </c>
      <c r="V15" s="9">
        <f>(tbl_Practice[[#This Row],[UnitPrice]]-IFERROR(VLOOKUP(tbl_Practice[[#This Row],[ProductID]],Products!$A:$G,5,FALSE),0))*tbl_Practice[[#This Row],[Quantity]]*(1-tbl_Practice[[#This Row],[DiscountValue]])</f>
        <v>503.93700000000007</v>
      </c>
    </row>
    <row r="16" spans="1:22" x14ac:dyDescent="0.25">
      <c r="A16">
        <v>1015</v>
      </c>
      <c r="B16" t="s">
        <v>9</v>
      </c>
      <c r="C16" t="s">
        <v>20</v>
      </c>
      <c r="D16">
        <v>1</v>
      </c>
      <c r="E16" s="2">
        <v>45332</v>
      </c>
      <c r="F16" t="s">
        <v>28</v>
      </c>
      <c r="G16" s="3">
        <v>0</v>
      </c>
      <c r="H16" t="s">
        <v>32</v>
      </c>
      <c r="I16" t="str">
        <f>IFERROR(VLOOKUP(tbl_Practice[[#This Row],[CustomerID]],Customers!$A:$G,2,FALSE),"Unknown")</f>
        <v>Jane Doe</v>
      </c>
      <c r="J16" t="str">
        <f>TRIM(PROPER(tbl_Practice[[#This Row],[CustomerName]]))</f>
        <v>Jane Doe</v>
      </c>
      <c r="K16" t="str">
        <f>IFERROR(VLOOKUP(tbl_Practice[[#This Row],[CustomerID]],Customers!$A:$G,4,FALSE),"Unknown")</f>
        <v>Silver</v>
      </c>
      <c r="L16" t="str">
        <f>IFERROR(VLOOKUP(tbl_Practice[[#This Row],[CustomerID]],Customers!$A:$G,6,FALSE),"Unknown")</f>
        <v>Los Angeles</v>
      </c>
      <c r="M16" t="str">
        <f>TEXT(tbl_Practice[[#This Row],[OrderDate]],"mmmm")</f>
        <v>February</v>
      </c>
      <c r="N16">
        <f>YEAR(tbl_Practice[[#This Row],[OrderDate]])</f>
        <v>2024</v>
      </c>
      <c r="O16" t="str">
        <f>TEXT(tbl_Practice[[#This Row],[OrderDate]],"mmm-yy")</f>
        <v>Feb-24</v>
      </c>
      <c r="P16" s="7" t="str">
        <f>"Q"&amp;INT((MONTH(tbl_Practice[[#This Row],[OrderDate]])-1)/3)+1&amp;"-"&amp;YEAR(tbl_Practice[[#This Row],[OrderDate]])</f>
        <v>Q1-2024</v>
      </c>
      <c r="Q16" s="9">
        <f>IFERROR(VLOOKUP(tbl_Practice[[#This Row],[ProductID]],Products!$A:$G,4,FALSE),0)</f>
        <v>39.99</v>
      </c>
      <c r="R16" s="9" t="str">
        <f>IFERROR(VLOOKUP(tbl_Practice[[#This Row],[ProductID]],Products!$A:$G,3,FALSE),"Unknown")</f>
        <v>Home</v>
      </c>
      <c r="S16" s="11">
        <f>VALUE(SUBSTITUTE(tbl_Practice[[#This Row],[Discount]], "%", ""))</f>
        <v>0</v>
      </c>
      <c r="T16" s="9">
        <f>tbl_Practice[[#This Row],[Quantity]]*tbl_Practice[[#This Row],[UnitPrice]]*(1-tbl_Practice[[#This Row],[DiscountValue]])</f>
        <v>39.99</v>
      </c>
      <c r="U16" s="9" t="str">
        <f>IF(tbl_Practice[[#This Row],[Revenue]]&gt;500,"Large","Standard")</f>
        <v>Standard</v>
      </c>
      <c r="V16" s="9">
        <f>(tbl_Practice[[#This Row],[UnitPrice]]-IFERROR(VLOOKUP(tbl_Practice[[#This Row],[ProductID]],Products!$A:$G,5,FALSE),0))*tbl_Practice[[#This Row],[Quantity]]*(1-tbl_Practice[[#This Row],[DiscountValue]])</f>
        <v>21.990000000000002</v>
      </c>
    </row>
    <row r="17" spans="1:22" x14ac:dyDescent="0.25">
      <c r="A17">
        <v>1016</v>
      </c>
      <c r="B17" t="s">
        <v>13</v>
      </c>
      <c r="C17" t="s">
        <v>21</v>
      </c>
      <c r="D17">
        <v>3</v>
      </c>
      <c r="E17" s="2">
        <v>45334</v>
      </c>
      <c r="F17" t="s">
        <v>26</v>
      </c>
      <c r="G17" s="3">
        <v>0.15</v>
      </c>
      <c r="H17" t="s">
        <v>31</v>
      </c>
      <c r="I17" t="str">
        <f>IFERROR(VLOOKUP(tbl_Practice[[#This Row],[CustomerID]],Customers!$A:$G,2,FALSE),"Unknown")</f>
        <v>Lisa Wilson</v>
      </c>
      <c r="J17" t="str">
        <f>TRIM(PROPER(tbl_Practice[[#This Row],[CustomerName]]))</f>
        <v>Lisa Wilson</v>
      </c>
      <c r="K17" t="str">
        <f>IFERROR(VLOOKUP(tbl_Practice[[#This Row],[CustomerID]],Customers!$A:$G,4,FALSE),"Unknown")</f>
        <v>Bronze</v>
      </c>
      <c r="L17" t="str">
        <f>IFERROR(VLOOKUP(tbl_Practice[[#This Row],[CustomerID]],Customers!$A:$G,6,FALSE),"Unknown")</f>
        <v>Philadelphia</v>
      </c>
      <c r="M17" t="str">
        <f>TEXT(tbl_Practice[[#This Row],[OrderDate]],"mmmm")</f>
        <v>February</v>
      </c>
      <c r="N17">
        <f>YEAR(tbl_Practice[[#This Row],[OrderDate]])</f>
        <v>2024</v>
      </c>
      <c r="O17" t="str">
        <f>TEXT(tbl_Practice[[#This Row],[OrderDate]],"mmm-yy")</f>
        <v>Feb-24</v>
      </c>
      <c r="P17" s="7" t="str">
        <f>"Q"&amp;INT((MONTH(tbl_Practice[[#This Row],[OrderDate]])-1)/3)+1&amp;"-"&amp;YEAR(tbl_Practice[[#This Row],[OrderDate]])</f>
        <v>Q1-2024</v>
      </c>
      <c r="Q17" s="9">
        <f>IFERROR(VLOOKUP(tbl_Practice[[#This Row],[ProductID]],Products!$A:$G,4,FALSE),0)</f>
        <v>59.99</v>
      </c>
      <c r="R17" s="9" t="str">
        <f>IFERROR(VLOOKUP(tbl_Practice[[#This Row],[ProductID]],Products!$A:$G,3,FALSE),"Unknown")</f>
        <v>Electronics</v>
      </c>
      <c r="S17" s="11">
        <f>VALUE(SUBSTITUTE(tbl_Practice[[#This Row],[Discount]], "%", ""))</f>
        <v>0.15</v>
      </c>
      <c r="T17" s="9">
        <f>tbl_Practice[[#This Row],[Quantity]]*tbl_Practice[[#This Row],[UnitPrice]]*(1-tbl_Practice[[#This Row],[DiscountValue]])</f>
        <v>152.97450000000001</v>
      </c>
      <c r="U17" s="9" t="str">
        <f>IF(tbl_Practice[[#This Row],[Revenue]]&gt;500,"Large","Standard")</f>
        <v>Standard</v>
      </c>
      <c r="V17" s="9">
        <f>(tbl_Practice[[#This Row],[UnitPrice]]-IFERROR(VLOOKUP(tbl_Practice[[#This Row],[ProductID]],Products!$A:$G,5,FALSE),0))*tbl_Practice[[#This Row],[Quantity]]*(1-tbl_Practice[[#This Row],[DiscountValue]])</f>
        <v>81.5745</v>
      </c>
    </row>
    <row r="18" spans="1:22" x14ac:dyDescent="0.25">
      <c r="A18">
        <v>1017</v>
      </c>
      <c r="B18" t="s">
        <v>14</v>
      </c>
      <c r="C18" t="s">
        <v>22</v>
      </c>
      <c r="D18">
        <v>2</v>
      </c>
      <c r="E18" s="2">
        <v>45337</v>
      </c>
      <c r="F18" t="s">
        <v>29</v>
      </c>
      <c r="G18" s="3">
        <v>0</v>
      </c>
      <c r="H18" t="s">
        <v>31</v>
      </c>
      <c r="I18" t="str">
        <f>IFERROR(VLOOKUP(tbl_Practice[[#This Row],[CustomerID]],Customers!$A:$G,2,FALSE),"Unknown")</f>
        <v>Michael Lee</v>
      </c>
      <c r="J18" t="str">
        <f>TRIM(PROPER(tbl_Practice[[#This Row],[CustomerName]]))</f>
        <v>Michael Lee</v>
      </c>
      <c r="K18" t="str">
        <f>IFERROR(VLOOKUP(tbl_Practice[[#This Row],[CustomerID]],Customers!$A:$G,4,FALSE),"Unknown")</f>
        <v>Gold</v>
      </c>
      <c r="L18" t="str">
        <f>IFERROR(VLOOKUP(tbl_Practice[[#This Row],[CustomerID]],Customers!$A:$G,6,FALSE),"Unknown")</f>
        <v>San Antonio</v>
      </c>
      <c r="M18" t="str">
        <f>TEXT(tbl_Practice[[#This Row],[OrderDate]],"mmmm")</f>
        <v>February</v>
      </c>
      <c r="N18">
        <f>YEAR(tbl_Practice[[#This Row],[OrderDate]])</f>
        <v>2024</v>
      </c>
      <c r="O18" t="str">
        <f>TEXT(tbl_Practice[[#This Row],[OrderDate]],"mmm-yy")</f>
        <v>Feb-24</v>
      </c>
      <c r="P18" s="7" t="str">
        <f>"Q"&amp;INT((MONTH(tbl_Practice[[#This Row],[OrderDate]])-1)/3)+1&amp;"-"&amp;YEAR(tbl_Practice[[#This Row],[OrderDate]])</f>
        <v>Q1-2024</v>
      </c>
      <c r="Q18" s="9">
        <f>IFERROR(VLOOKUP(tbl_Practice[[#This Row],[ProductID]],Products!$A:$G,4,FALSE),0)</f>
        <v>24.99</v>
      </c>
      <c r="R18" s="9" t="str">
        <f>IFERROR(VLOOKUP(tbl_Practice[[#This Row],[ProductID]],Products!$A:$G,3,FALSE),"Unknown")</f>
        <v>Office Supplies</v>
      </c>
      <c r="S18" s="11">
        <f>VALUE(SUBSTITUTE(tbl_Practice[[#This Row],[Discount]], "%", ""))</f>
        <v>0</v>
      </c>
      <c r="T18" s="9">
        <f>tbl_Practice[[#This Row],[Quantity]]*tbl_Practice[[#This Row],[UnitPrice]]*(1-tbl_Practice[[#This Row],[DiscountValue]])</f>
        <v>49.98</v>
      </c>
      <c r="U18" s="9" t="str">
        <f>IF(tbl_Practice[[#This Row],[Revenue]]&gt;500,"Large","Standard")</f>
        <v>Standard</v>
      </c>
      <c r="V18" s="9">
        <f>(tbl_Practice[[#This Row],[UnitPrice]]-IFERROR(VLOOKUP(tbl_Practice[[#This Row],[ProductID]],Products!$A:$G,5,FALSE),0))*tbl_Practice[[#This Row],[Quantity]]*(1-tbl_Practice[[#This Row],[DiscountValue]])</f>
        <v>29.979999999999997</v>
      </c>
    </row>
    <row r="19" spans="1:22" x14ac:dyDescent="0.25">
      <c r="A19">
        <v>1018</v>
      </c>
      <c r="B19" t="s">
        <v>15</v>
      </c>
      <c r="C19" t="s">
        <v>23</v>
      </c>
      <c r="D19">
        <v>5</v>
      </c>
      <c r="E19" s="2">
        <v>45340</v>
      </c>
      <c r="F19" t="s">
        <v>27</v>
      </c>
      <c r="G19" s="3">
        <v>0.1</v>
      </c>
      <c r="H19" t="s">
        <v>33</v>
      </c>
      <c r="I19" t="str">
        <f>IFERROR(VLOOKUP(tbl_Practice[[#This Row],[CustomerID]],Customers!$A:$G,2,FALSE),"Unknown")</f>
        <v>Sarah Miller</v>
      </c>
      <c r="J19" t="str">
        <f>TRIM(PROPER(tbl_Practice[[#This Row],[CustomerName]]))</f>
        <v>Sarah Miller</v>
      </c>
      <c r="K19" t="str">
        <f>IFERROR(VLOOKUP(tbl_Practice[[#This Row],[CustomerID]],Customers!$A:$G,4,FALSE),"Unknown")</f>
        <v>Bronze</v>
      </c>
      <c r="L19" t="str">
        <f>IFERROR(VLOOKUP(tbl_Practice[[#This Row],[CustomerID]],Customers!$A:$G,6,FALSE),"Unknown")</f>
        <v>San Diego</v>
      </c>
      <c r="M19" t="str">
        <f>TEXT(tbl_Practice[[#This Row],[OrderDate]],"mmmm")</f>
        <v>February</v>
      </c>
      <c r="N19">
        <f>YEAR(tbl_Practice[[#This Row],[OrderDate]])</f>
        <v>2024</v>
      </c>
      <c r="O19" t="str">
        <f>TEXT(tbl_Practice[[#This Row],[OrderDate]],"mmm-yy")</f>
        <v>Feb-24</v>
      </c>
      <c r="P19" s="7" t="str">
        <f>"Q"&amp;INT((MONTH(tbl_Practice[[#This Row],[OrderDate]])-1)/3)+1&amp;"-"&amp;YEAR(tbl_Practice[[#This Row],[OrderDate]])</f>
        <v>Q1-2024</v>
      </c>
      <c r="Q19" s="9">
        <f>IFERROR(VLOOKUP(tbl_Practice[[#This Row],[ProductID]],Products!$A:$G,4,FALSE),0)</f>
        <v>79.989999999999995</v>
      </c>
      <c r="R19" s="9" t="str">
        <f>IFERROR(VLOOKUP(tbl_Practice[[#This Row],[ProductID]],Products!$A:$G,3,FALSE),"Unknown")</f>
        <v>Home</v>
      </c>
      <c r="S19" s="11">
        <f>VALUE(SUBSTITUTE(tbl_Practice[[#This Row],[Discount]], "%", ""))</f>
        <v>0.1</v>
      </c>
      <c r="T19" s="9">
        <f>tbl_Practice[[#This Row],[Quantity]]*tbl_Practice[[#This Row],[UnitPrice]]*(1-tbl_Practice[[#This Row],[DiscountValue]])</f>
        <v>359.95499999999998</v>
      </c>
      <c r="U19" s="9" t="str">
        <f>IF(tbl_Practice[[#This Row],[Revenue]]&gt;500,"Large","Standard")</f>
        <v>Standard</v>
      </c>
      <c r="V19" s="9">
        <f>(tbl_Practice[[#This Row],[UnitPrice]]-IFERROR(VLOOKUP(tbl_Practice[[#This Row],[ProductID]],Products!$A:$G,5,FALSE),0))*tbl_Practice[[#This Row],[Quantity]]*(1-tbl_Practice[[#This Row],[DiscountValue]])</f>
        <v>179.95499999999998</v>
      </c>
    </row>
    <row r="20" spans="1:22" x14ac:dyDescent="0.25">
      <c r="A20">
        <v>1019</v>
      </c>
      <c r="B20" t="s">
        <v>10</v>
      </c>
      <c r="C20" t="s">
        <v>24</v>
      </c>
      <c r="D20">
        <v>4</v>
      </c>
      <c r="E20" s="2">
        <v>45342</v>
      </c>
      <c r="F20" t="s">
        <v>28</v>
      </c>
      <c r="G20" s="3">
        <v>0.22</v>
      </c>
      <c r="H20" t="s">
        <v>33</v>
      </c>
      <c r="I20" t="str">
        <f>IFERROR(VLOOKUP(tbl_Practice[[#This Row],[CustomerID]],Customers!$A:$G,2,FALSE),"Unknown")</f>
        <v>Robert Johnson</v>
      </c>
      <c r="J20" t="str">
        <f>TRIM(PROPER(tbl_Practice[[#This Row],[CustomerName]]))</f>
        <v>Robert Johnson</v>
      </c>
      <c r="K20" t="str">
        <f>IFERROR(VLOOKUP(tbl_Practice[[#This Row],[CustomerID]],Customers!$A:$G,4,FALSE),"Unknown")</f>
        <v>Bronze</v>
      </c>
      <c r="L20" t="str">
        <f>IFERROR(VLOOKUP(tbl_Practice[[#This Row],[CustomerID]],Customers!$A:$G,6,FALSE),"Unknown")</f>
        <v>Chicago</v>
      </c>
      <c r="M20" t="str">
        <f>TEXT(tbl_Practice[[#This Row],[OrderDate]],"mmmm")</f>
        <v>February</v>
      </c>
      <c r="N20">
        <f>YEAR(tbl_Practice[[#This Row],[OrderDate]])</f>
        <v>2024</v>
      </c>
      <c r="O20" t="str">
        <f>TEXT(tbl_Practice[[#This Row],[OrderDate]],"mmm-yy")</f>
        <v>Feb-24</v>
      </c>
      <c r="P20" s="7" t="str">
        <f>"Q"&amp;INT((MONTH(tbl_Practice[[#This Row],[OrderDate]])-1)/3)+1&amp;"-"&amp;YEAR(tbl_Practice[[#This Row],[OrderDate]])</f>
        <v>Q1-2024</v>
      </c>
      <c r="Q20" s="9">
        <f>IFERROR(VLOOKUP(tbl_Practice[[#This Row],[ProductID]],Products!$A:$G,4,FALSE),0)</f>
        <v>49.99</v>
      </c>
      <c r="R20" s="9" t="str">
        <f>IFERROR(VLOOKUP(tbl_Practice[[#This Row],[ProductID]],Products!$A:$G,3,FALSE),"Unknown")</f>
        <v>Electronics</v>
      </c>
      <c r="S20" s="11">
        <f>VALUE(SUBSTITUTE(tbl_Practice[[#This Row],[Discount]], "%", ""))</f>
        <v>0.22</v>
      </c>
      <c r="T20" s="9">
        <f>tbl_Practice[[#This Row],[Quantity]]*tbl_Practice[[#This Row],[UnitPrice]]*(1-tbl_Practice[[#This Row],[DiscountValue]])</f>
        <v>155.96880000000002</v>
      </c>
      <c r="U20" s="9" t="str">
        <f>IF(tbl_Practice[[#This Row],[Revenue]]&gt;500,"Large","Standard")</f>
        <v>Standard</v>
      </c>
      <c r="V20" s="9">
        <f>(tbl_Practice[[#This Row],[UnitPrice]]-IFERROR(VLOOKUP(tbl_Practice[[#This Row],[ProductID]],Products!$A:$G,5,FALSE),0))*tbl_Practice[[#This Row],[Quantity]]*(1-tbl_Practice[[#This Row],[DiscountValue]])</f>
        <v>77.968800000000016</v>
      </c>
    </row>
    <row r="21" spans="1:22" x14ac:dyDescent="0.25">
      <c r="A21">
        <v>1020</v>
      </c>
      <c r="B21" t="s">
        <v>8</v>
      </c>
      <c r="C21" t="s">
        <v>25</v>
      </c>
      <c r="D21">
        <v>1</v>
      </c>
      <c r="E21" s="2">
        <v>45344</v>
      </c>
      <c r="F21" t="s">
        <v>26</v>
      </c>
      <c r="G21" s="3">
        <v>0</v>
      </c>
      <c r="H21" t="s">
        <v>31</v>
      </c>
      <c r="I21" t="str">
        <f>IFERROR(VLOOKUP(tbl_Practice[[#This Row],[CustomerID]],Customers!$A:$G,2,FALSE),"Unknown")</f>
        <v>John Smith</v>
      </c>
      <c r="J21" t="str">
        <f>TRIM(PROPER(tbl_Practice[[#This Row],[CustomerName]]))</f>
        <v>John Smith</v>
      </c>
      <c r="K21" t="str">
        <f>IFERROR(VLOOKUP(tbl_Practice[[#This Row],[CustomerID]],Customers!$A:$G,4,FALSE),"Unknown")</f>
        <v>Gold</v>
      </c>
      <c r="L21" t="str">
        <f>IFERROR(VLOOKUP(tbl_Practice[[#This Row],[CustomerID]],Customers!$A:$G,6,FALSE),"Unknown")</f>
        <v>New York</v>
      </c>
      <c r="M21" t="str">
        <f>TEXT(tbl_Practice[[#This Row],[OrderDate]],"mmmm")</f>
        <v>February</v>
      </c>
      <c r="N21">
        <f>YEAR(tbl_Practice[[#This Row],[OrderDate]])</f>
        <v>2024</v>
      </c>
      <c r="O21" t="str">
        <f>TEXT(tbl_Practice[[#This Row],[OrderDate]],"mmm-yy")</f>
        <v>Feb-24</v>
      </c>
      <c r="P21" s="7" t="str">
        <f>"Q"&amp;INT((MONTH(tbl_Practice[[#This Row],[OrderDate]])-1)/3)+1&amp;"-"&amp;YEAR(tbl_Practice[[#This Row],[OrderDate]])</f>
        <v>Q1-2024</v>
      </c>
      <c r="Q21" s="9">
        <f>IFERROR(VLOOKUP(tbl_Practice[[#This Row],[ProductID]],Products!$A:$G,4,FALSE),0)</f>
        <v>149.99</v>
      </c>
      <c r="R21" s="9" t="str">
        <f>IFERROR(VLOOKUP(tbl_Practice[[#This Row],[ProductID]],Products!$A:$G,3,FALSE),"Unknown")</f>
        <v>Furniture</v>
      </c>
      <c r="S21" s="11">
        <f>VALUE(SUBSTITUTE(tbl_Practice[[#This Row],[Discount]], "%", ""))</f>
        <v>0</v>
      </c>
      <c r="T21" s="9">
        <f>tbl_Practice[[#This Row],[Quantity]]*tbl_Practice[[#This Row],[UnitPrice]]*(1-tbl_Practice[[#This Row],[DiscountValue]])</f>
        <v>149.99</v>
      </c>
      <c r="U21" s="9" t="str">
        <f>IF(tbl_Practice[[#This Row],[Revenue]]&gt;500,"Large","Standard")</f>
        <v>Standard</v>
      </c>
      <c r="V21" s="9">
        <f>(tbl_Practice[[#This Row],[UnitPrice]]-IFERROR(VLOOKUP(tbl_Practice[[#This Row],[ProductID]],Products!$A:$G,5,FALSE),0))*tbl_Practice[[#This Row],[Quantity]]*(1-tbl_Practice[[#This Row],[DiscountValue]])</f>
        <v>59.990000000000009</v>
      </c>
    </row>
    <row r="22" spans="1:22" x14ac:dyDescent="0.25">
      <c r="A22">
        <v>1021</v>
      </c>
      <c r="B22" t="s">
        <v>11</v>
      </c>
      <c r="C22" t="s">
        <v>16</v>
      </c>
      <c r="D22">
        <v>8</v>
      </c>
      <c r="E22" s="2">
        <v>45347</v>
      </c>
      <c r="F22" t="s">
        <v>29</v>
      </c>
      <c r="G22" s="3">
        <v>0.05</v>
      </c>
      <c r="H22" t="s">
        <v>31</v>
      </c>
      <c r="I22" t="str">
        <f>IFERROR(VLOOKUP(tbl_Practice[[#This Row],[CustomerID]],Customers!$A:$G,2,FALSE),"Unknown")</f>
        <v>Maria Garcia</v>
      </c>
      <c r="J22" t="str">
        <f>TRIM(PROPER(tbl_Practice[[#This Row],[CustomerName]]))</f>
        <v>Maria Garcia</v>
      </c>
      <c r="K22" t="str">
        <f>IFERROR(VLOOKUP(tbl_Practice[[#This Row],[CustomerID]],Customers!$A:$G,4,FALSE),"Unknown")</f>
        <v>Gold</v>
      </c>
      <c r="L22" t="str">
        <f>IFERROR(VLOOKUP(tbl_Practice[[#This Row],[CustomerID]],Customers!$A:$G,6,FALSE),"Unknown")</f>
        <v>Houston</v>
      </c>
      <c r="M22" t="str">
        <f>TEXT(tbl_Practice[[#This Row],[OrderDate]],"mmmm")</f>
        <v>February</v>
      </c>
      <c r="N22">
        <f>YEAR(tbl_Practice[[#This Row],[OrderDate]])</f>
        <v>2024</v>
      </c>
      <c r="O22" t="str">
        <f>TEXT(tbl_Practice[[#This Row],[OrderDate]],"mmm-yy")</f>
        <v>Feb-24</v>
      </c>
      <c r="P22" s="7" t="str">
        <f>"Q"&amp;INT((MONTH(tbl_Practice[[#This Row],[OrderDate]])-1)/3)+1&amp;"-"&amp;YEAR(tbl_Practice[[#This Row],[OrderDate]])</f>
        <v>Q1-2024</v>
      </c>
      <c r="Q22" s="9">
        <f>IFERROR(VLOOKUP(tbl_Practice[[#This Row],[ProductID]],Products!$A:$G,4,FALSE),0)</f>
        <v>29.99</v>
      </c>
      <c r="R22" s="9" t="str">
        <f>IFERROR(VLOOKUP(tbl_Practice[[#This Row],[ProductID]],Products!$A:$G,3,FALSE),"Unknown")</f>
        <v>Electronics</v>
      </c>
      <c r="S22" s="11">
        <f>VALUE(SUBSTITUTE(tbl_Practice[[#This Row],[Discount]], "%", ""))</f>
        <v>0.05</v>
      </c>
      <c r="T22" s="9">
        <f>tbl_Practice[[#This Row],[Quantity]]*tbl_Practice[[#This Row],[UnitPrice]]*(1-tbl_Practice[[#This Row],[DiscountValue]])</f>
        <v>227.92399999999998</v>
      </c>
      <c r="U22" s="9" t="str">
        <f>IF(tbl_Practice[[#This Row],[Revenue]]&gt;500,"Large","Standard")</f>
        <v>Standard</v>
      </c>
      <c r="V22" s="9">
        <f>(tbl_Practice[[#This Row],[UnitPrice]]-IFERROR(VLOOKUP(tbl_Practice[[#This Row],[ProductID]],Products!$A:$G,5,FALSE),0))*tbl_Practice[[#This Row],[Quantity]]*(1-tbl_Practice[[#This Row],[DiscountValue]])</f>
        <v>113.92399999999998</v>
      </c>
    </row>
    <row r="23" spans="1:22" x14ac:dyDescent="0.25">
      <c r="A23">
        <v>1022</v>
      </c>
      <c r="B23" t="s">
        <v>12</v>
      </c>
      <c r="C23" t="s">
        <v>17</v>
      </c>
      <c r="D23">
        <v>2</v>
      </c>
      <c r="E23" s="2">
        <v>45350</v>
      </c>
      <c r="F23" t="s">
        <v>27</v>
      </c>
      <c r="G23" s="3">
        <v>0.1</v>
      </c>
      <c r="H23" t="s">
        <v>33</v>
      </c>
      <c r="I23" t="str">
        <f>IFERROR(VLOOKUP(tbl_Practice[[#This Row],[CustomerID]],Customers!$A:$G,2,FALSE),"Unknown")</f>
        <v>David Brown</v>
      </c>
      <c r="J23" t="str">
        <f>TRIM(PROPER(tbl_Practice[[#This Row],[CustomerName]]))</f>
        <v>David Brown</v>
      </c>
      <c r="K23" t="str">
        <f>IFERROR(VLOOKUP(tbl_Practice[[#This Row],[CustomerID]],Customers!$A:$G,4,FALSE),"Unknown")</f>
        <v>Silver</v>
      </c>
      <c r="L23" t="str">
        <f>IFERROR(VLOOKUP(tbl_Practice[[#This Row],[CustomerID]],Customers!$A:$G,6,FALSE),"Unknown")</f>
        <v>Phoenix</v>
      </c>
      <c r="M23" t="str">
        <f>TEXT(tbl_Practice[[#This Row],[OrderDate]],"mmmm")</f>
        <v>February</v>
      </c>
      <c r="N23">
        <f>YEAR(tbl_Practice[[#This Row],[OrderDate]])</f>
        <v>2024</v>
      </c>
      <c r="O23" t="str">
        <f>TEXT(tbl_Practice[[#This Row],[OrderDate]],"mmm-yy")</f>
        <v>Feb-24</v>
      </c>
      <c r="P23" s="7" t="str">
        <f>"Q"&amp;INT((MONTH(tbl_Practice[[#This Row],[OrderDate]])-1)/3)+1&amp;"-"&amp;YEAR(tbl_Practice[[#This Row],[OrderDate]])</f>
        <v>Q1-2024</v>
      </c>
      <c r="Q23" s="9">
        <f>IFERROR(VLOOKUP(tbl_Practice[[#This Row],[ProductID]],Products!$A:$G,4,FALSE),0)</f>
        <v>299.99</v>
      </c>
      <c r="R23" s="9" t="str">
        <f>IFERROR(VLOOKUP(tbl_Practice[[#This Row],[ProductID]],Products!$A:$G,3,FALSE),"Unknown")</f>
        <v>Furniture</v>
      </c>
      <c r="S23" s="11">
        <f>VALUE(SUBSTITUTE(tbl_Practice[[#This Row],[Discount]], "%", ""))</f>
        <v>0.1</v>
      </c>
      <c r="T23" s="9">
        <f>tbl_Practice[[#This Row],[Quantity]]*tbl_Practice[[#This Row],[UnitPrice]]*(1-tbl_Practice[[#This Row],[DiscountValue]])</f>
        <v>539.98200000000008</v>
      </c>
      <c r="U23" s="9" t="str">
        <f>IF(tbl_Practice[[#This Row],[Revenue]]&gt;500,"Large","Standard")</f>
        <v>Large</v>
      </c>
      <c r="V23" s="9">
        <f>(tbl_Practice[[#This Row],[UnitPrice]]-IFERROR(VLOOKUP(tbl_Practice[[#This Row],[ProductID]],Products!$A:$G,5,FALSE),0))*tbl_Practice[[#This Row],[Quantity]]*(1-tbl_Practice[[#This Row],[DiscountValue]])</f>
        <v>215.98200000000003</v>
      </c>
    </row>
    <row r="24" spans="1:22" x14ac:dyDescent="0.25">
      <c r="A24">
        <v>1023</v>
      </c>
      <c r="B24" t="s">
        <v>9</v>
      </c>
      <c r="C24" t="s">
        <v>18</v>
      </c>
      <c r="D24">
        <v>1</v>
      </c>
      <c r="E24" s="2">
        <v>45352</v>
      </c>
      <c r="F24" t="s">
        <v>28</v>
      </c>
      <c r="G24" s="3">
        <v>0.18</v>
      </c>
      <c r="H24" t="s">
        <v>31</v>
      </c>
      <c r="I24" t="str">
        <f>IFERROR(VLOOKUP(tbl_Practice[[#This Row],[CustomerID]],Customers!$A:$G,2,FALSE),"Unknown")</f>
        <v>Jane Doe</v>
      </c>
      <c r="J24" t="str">
        <f>TRIM(PROPER(tbl_Practice[[#This Row],[CustomerName]]))</f>
        <v>Jane Doe</v>
      </c>
      <c r="K24" t="str">
        <f>IFERROR(VLOOKUP(tbl_Practice[[#This Row],[CustomerID]],Customers!$A:$G,4,FALSE),"Unknown")</f>
        <v>Silver</v>
      </c>
      <c r="L24" t="str">
        <f>IFERROR(VLOOKUP(tbl_Practice[[#This Row],[CustomerID]],Customers!$A:$G,6,FALSE),"Unknown")</f>
        <v>Los Angeles</v>
      </c>
      <c r="M24" t="str">
        <f>TEXT(tbl_Practice[[#This Row],[OrderDate]],"mmmm")</f>
        <v>March</v>
      </c>
      <c r="N24">
        <f>YEAR(tbl_Practice[[#This Row],[OrderDate]])</f>
        <v>2024</v>
      </c>
      <c r="O24" t="str">
        <f>TEXT(tbl_Practice[[#This Row],[OrderDate]],"mmm-yy")</f>
        <v>Mar-24</v>
      </c>
      <c r="P24" s="7" t="str">
        <f>"Q"&amp;INT((MONTH(tbl_Practice[[#This Row],[OrderDate]])-1)/3)+1&amp;"-"&amp;YEAR(tbl_Practice[[#This Row],[OrderDate]])</f>
        <v>Q1-2024</v>
      </c>
      <c r="Q24" s="9">
        <f>IFERROR(VLOOKUP(tbl_Practice[[#This Row],[ProductID]],Products!$A:$G,4,FALSE),0)</f>
        <v>89.99</v>
      </c>
      <c r="R24" s="9" t="str">
        <f>IFERROR(VLOOKUP(tbl_Practice[[#This Row],[ProductID]],Products!$A:$G,3,FALSE),"Unknown")</f>
        <v>Electronics</v>
      </c>
      <c r="S24" s="11">
        <f>VALUE(SUBSTITUTE(tbl_Practice[[#This Row],[Discount]], "%", ""))</f>
        <v>0.18</v>
      </c>
      <c r="T24" s="9">
        <f>tbl_Practice[[#This Row],[Quantity]]*tbl_Practice[[#This Row],[UnitPrice]]*(1-tbl_Practice[[#This Row],[DiscountValue]])</f>
        <v>73.791799999999995</v>
      </c>
      <c r="U24" s="9" t="str">
        <f>IF(tbl_Practice[[#This Row],[Revenue]]&gt;500,"Large","Standard")</f>
        <v>Standard</v>
      </c>
      <c r="V24" s="9">
        <f>(tbl_Practice[[#This Row],[UnitPrice]]-IFERROR(VLOOKUP(tbl_Practice[[#This Row],[ProductID]],Products!$A:$G,5,FALSE),0))*tbl_Practice[[#This Row],[Quantity]]*(1-tbl_Practice[[#This Row],[DiscountValue]])</f>
        <v>36.891799999999996</v>
      </c>
    </row>
    <row r="25" spans="1:22" x14ac:dyDescent="0.25">
      <c r="A25">
        <v>1024</v>
      </c>
      <c r="B25" t="s">
        <v>13</v>
      </c>
      <c r="C25" t="s">
        <v>19</v>
      </c>
      <c r="D25">
        <v>3</v>
      </c>
      <c r="E25" s="2">
        <v>45356</v>
      </c>
      <c r="F25" t="s">
        <v>26</v>
      </c>
      <c r="G25" s="3">
        <v>0.12</v>
      </c>
      <c r="H25" t="s">
        <v>33</v>
      </c>
      <c r="I25" t="str">
        <f>IFERROR(VLOOKUP(tbl_Practice[[#This Row],[CustomerID]],Customers!$A:$G,2,FALSE),"Unknown")</f>
        <v>Lisa Wilson</v>
      </c>
      <c r="J25" t="str">
        <f>TRIM(PROPER(tbl_Practice[[#This Row],[CustomerName]]))</f>
        <v>Lisa Wilson</v>
      </c>
      <c r="K25" t="str">
        <f>IFERROR(VLOOKUP(tbl_Practice[[#This Row],[CustomerID]],Customers!$A:$G,4,FALSE),"Unknown")</f>
        <v>Bronze</v>
      </c>
      <c r="L25" t="str">
        <f>IFERROR(VLOOKUP(tbl_Practice[[#This Row],[CustomerID]],Customers!$A:$G,6,FALSE),"Unknown")</f>
        <v>Philadelphia</v>
      </c>
      <c r="M25" t="str">
        <f>TEXT(tbl_Practice[[#This Row],[OrderDate]],"mmmm")</f>
        <v>March</v>
      </c>
      <c r="N25">
        <f>YEAR(tbl_Practice[[#This Row],[OrderDate]])</f>
        <v>2024</v>
      </c>
      <c r="O25" t="str">
        <f>TEXT(tbl_Practice[[#This Row],[OrderDate]],"mmm-yy")</f>
        <v>Mar-24</v>
      </c>
      <c r="P25" s="7" t="str">
        <f>"Q"&amp;INT((MONTH(tbl_Practice[[#This Row],[OrderDate]])-1)/3)+1&amp;"-"&amp;YEAR(tbl_Practice[[#This Row],[OrderDate]])</f>
        <v>Q1-2024</v>
      </c>
      <c r="Q25" s="9">
        <f>IFERROR(VLOOKUP(tbl_Practice[[#This Row],[ProductID]],Products!$A:$G,4,FALSE),0)</f>
        <v>199.99</v>
      </c>
      <c r="R25" s="9" t="str">
        <f>IFERROR(VLOOKUP(tbl_Practice[[#This Row],[ProductID]],Products!$A:$G,3,FALSE),"Unknown")</f>
        <v>Electronics</v>
      </c>
      <c r="S25" s="11">
        <f>VALUE(SUBSTITUTE(tbl_Practice[[#This Row],[Discount]], "%", ""))</f>
        <v>0.12</v>
      </c>
      <c r="T25" s="9">
        <f>tbl_Practice[[#This Row],[Quantity]]*tbl_Practice[[#This Row],[UnitPrice]]*(1-tbl_Practice[[#This Row],[DiscountValue]])</f>
        <v>527.97360000000003</v>
      </c>
      <c r="U25" s="9" t="str">
        <f>IF(tbl_Practice[[#This Row],[Revenue]]&gt;500,"Large","Standard")</f>
        <v>Large</v>
      </c>
      <c r="V25" s="9">
        <f>(tbl_Practice[[#This Row],[UnitPrice]]-IFERROR(VLOOKUP(tbl_Practice[[#This Row],[ProductID]],Products!$A:$G,5,FALSE),0))*tbl_Practice[[#This Row],[Quantity]]*(1-tbl_Practice[[#This Row],[DiscountValue]])</f>
        <v>211.17360000000002</v>
      </c>
    </row>
    <row r="26" spans="1:22" x14ac:dyDescent="0.25">
      <c r="A26">
        <v>1025</v>
      </c>
      <c r="B26" t="s">
        <v>14</v>
      </c>
      <c r="C26" t="s">
        <v>20</v>
      </c>
      <c r="D26">
        <v>6</v>
      </c>
      <c r="E26" s="2">
        <v>45359</v>
      </c>
      <c r="F26" t="s">
        <v>29</v>
      </c>
      <c r="G26" s="3">
        <v>0</v>
      </c>
      <c r="H26" t="s">
        <v>31</v>
      </c>
      <c r="I26" t="str">
        <f>IFERROR(VLOOKUP(tbl_Practice[[#This Row],[CustomerID]],Customers!$A:$G,2,FALSE),"Unknown")</f>
        <v>Michael Lee</v>
      </c>
      <c r="J26" t="str">
        <f>TRIM(PROPER(tbl_Practice[[#This Row],[CustomerName]]))</f>
        <v>Michael Lee</v>
      </c>
      <c r="K26" t="str">
        <f>IFERROR(VLOOKUP(tbl_Practice[[#This Row],[CustomerID]],Customers!$A:$G,4,FALSE),"Unknown")</f>
        <v>Gold</v>
      </c>
      <c r="L26" t="str">
        <f>IFERROR(VLOOKUP(tbl_Practice[[#This Row],[CustomerID]],Customers!$A:$G,6,FALSE),"Unknown")</f>
        <v>San Antonio</v>
      </c>
      <c r="M26" t="str">
        <f>TEXT(tbl_Practice[[#This Row],[OrderDate]],"mmmm")</f>
        <v>March</v>
      </c>
      <c r="N26">
        <f>YEAR(tbl_Practice[[#This Row],[OrderDate]])</f>
        <v>2024</v>
      </c>
      <c r="O26" t="str">
        <f>TEXT(tbl_Practice[[#This Row],[OrderDate]],"mmm-yy")</f>
        <v>Mar-24</v>
      </c>
      <c r="P26" s="7" t="str">
        <f>"Q"&amp;INT((MONTH(tbl_Practice[[#This Row],[OrderDate]])-1)/3)+1&amp;"-"&amp;YEAR(tbl_Practice[[#This Row],[OrderDate]])</f>
        <v>Q1-2024</v>
      </c>
      <c r="Q26" s="9">
        <f>IFERROR(VLOOKUP(tbl_Practice[[#This Row],[ProductID]],Products!$A:$G,4,FALSE),0)</f>
        <v>39.99</v>
      </c>
      <c r="R26" s="9" t="str">
        <f>IFERROR(VLOOKUP(tbl_Practice[[#This Row],[ProductID]],Products!$A:$G,3,FALSE),"Unknown")</f>
        <v>Home</v>
      </c>
      <c r="S26" s="11">
        <f>VALUE(SUBSTITUTE(tbl_Practice[[#This Row],[Discount]], "%", ""))</f>
        <v>0</v>
      </c>
      <c r="T26" s="9">
        <f>tbl_Practice[[#This Row],[Quantity]]*tbl_Practice[[#This Row],[UnitPrice]]*(1-tbl_Practice[[#This Row],[DiscountValue]])</f>
        <v>239.94</v>
      </c>
      <c r="U26" s="9" t="str">
        <f>IF(tbl_Practice[[#This Row],[Revenue]]&gt;500,"Large","Standard")</f>
        <v>Standard</v>
      </c>
      <c r="V26" s="9">
        <f>(tbl_Practice[[#This Row],[UnitPrice]]-IFERROR(VLOOKUP(tbl_Practice[[#This Row],[ProductID]],Products!$A:$G,5,FALSE),0))*tbl_Practice[[#This Row],[Quantity]]*(1-tbl_Practice[[#This Row],[DiscountValue]])</f>
        <v>131.94</v>
      </c>
    </row>
    <row r="27" spans="1:22" x14ac:dyDescent="0.25">
      <c r="A27">
        <v>1026</v>
      </c>
      <c r="B27" t="s">
        <v>15</v>
      </c>
      <c r="C27" t="s">
        <v>21</v>
      </c>
      <c r="D27">
        <v>2</v>
      </c>
      <c r="E27" s="2">
        <v>45361</v>
      </c>
      <c r="F27" t="s">
        <v>27</v>
      </c>
      <c r="G27" s="3">
        <v>0.2</v>
      </c>
      <c r="H27" t="s">
        <v>31</v>
      </c>
      <c r="I27" t="str">
        <f>IFERROR(VLOOKUP(tbl_Practice[[#This Row],[CustomerID]],Customers!$A:$G,2,FALSE),"Unknown")</f>
        <v>Sarah Miller</v>
      </c>
      <c r="J27" t="str">
        <f>TRIM(PROPER(tbl_Practice[[#This Row],[CustomerName]]))</f>
        <v>Sarah Miller</v>
      </c>
      <c r="K27" t="str">
        <f>IFERROR(VLOOKUP(tbl_Practice[[#This Row],[CustomerID]],Customers!$A:$G,4,FALSE),"Unknown")</f>
        <v>Bronze</v>
      </c>
      <c r="L27" t="str">
        <f>IFERROR(VLOOKUP(tbl_Practice[[#This Row],[CustomerID]],Customers!$A:$G,6,FALSE),"Unknown")</f>
        <v>San Diego</v>
      </c>
      <c r="M27" t="str">
        <f>TEXT(tbl_Practice[[#This Row],[OrderDate]],"mmmm")</f>
        <v>March</v>
      </c>
      <c r="N27">
        <f>YEAR(tbl_Practice[[#This Row],[OrderDate]])</f>
        <v>2024</v>
      </c>
      <c r="O27" t="str">
        <f>TEXT(tbl_Practice[[#This Row],[OrderDate]],"mmm-yy")</f>
        <v>Mar-24</v>
      </c>
      <c r="P27" s="7" t="str">
        <f>"Q"&amp;INT((MONTH(tbl_Practice[[#This Row],[OrderDate]])-1)/3)+1&amp;"-"&amp;YEAR(tbl_Practice[[#This Row],[OrderDate]])</f>
        <v>Q1-2024</v>
      </c>
      <c r="Q27" s="9">
        <f>IFERROR(VLOOKUP(tbl_Practice[[#This Row],[ProductID]],Products!$A:$G,4,FALSE),0)</f>
        <v>59.99</v>
      </c>
      <c r="R27" s="9" t="str">
        <f>IFERROR(VLOOKUP(tbl_Practice[[#This Row],[ProductID]],Products!$A:$G,3,FALSE),"Unknown")</f>
        <v>Electronics</v>
      </c>
      <c r="S27" s="11">
        <f>VALUE(SUBSTITUTE(tbl_Practice[[#This Row],[Discount]], "%", ""))</f>
        <v>0.2</v>
      </c>
      <c r="T27" s="9">
        <f>tbl_Practice[[#This Row],[Quantity]]*tbl_Practice[[#This Row],[UnitPrice]]*(1-tbl_Practice[[#This Row],[DiscountValue]])</f>
        <v>95.984000000000009</v>
      </c>
      <c r="U27" s="9" t="str">
        <f>IF(tbl_Practice[[#This Row],[Revenue]]&gt;500,"Large","Standard")</f>
        <v>Standard</v>
      </c>
      <c r="V27" s="9">
        <f>(tbl_Practice[[#This Row],[UnitPrice]]-IFERROR(VLOOKUP(tbl_Practice[[#This Row],[ProductID]],Products!$A:$G,5,FALSE),0))*tbl_Practice[[#This Row],[Quantity]]*(1-tbl_Practice[[#This Row],[DiscountValue]])</f>
        <v>51.184000000000005</v>
      </c>
    </row>
    <row r="28" spans="1:22" x14ac:dyDescent="0.25">
      <c r="A28">
        <v>1027</v>
      </c>
      <c r="B28" t="s">
        <v>10</v>
      </c>
      <c r="C28" t="s">
        <v>22</v>
      </c>
      <c r="D28">
        <v>1</v>
      </c>
      <c r="E28" s="2">
        <v>45363</v>
      </c>
      <c r="F28" t="s">
        <v>28</v>
      </c>
      <c r="G28" s="3">
        <v>0.12</v>
      </c>
      <c r="H28" t="s">
        <v>33</v>
      </c>
      <c r="I28" t="str">
        <f>IFERROR(VLOOKUP(tbl_Practice[[#This Row],[CustomerID]],Customers!$A:$G,2,FALSE),"Unknown")</f>
        <v>Robert Johnson</v>
      </c>
      <c r="J28" t="str">
        <f>TRIM(PROPER(tbl_Practice[[#This Row],[CustomerName]]))</f>
        <v>Robert Johnson</v>
      </c>
      <c r="K28" t="str">
        <f>IFERROR(VLOOKUP(tbl_Practice[[#This Row],[CustomerID]],Customers!$A:$G,4,FALSE),"Unknown")</f>
        <v>Bronze</v>
      </c>
      <c r="L28" t="str">
        <f>IFERROR(VLOOKUP(tbl_Practice[[#This Row],[CustomerID]],Customers!$A:$G,6,FALSE),"Unknown")</f>
        <v>Chicago</v>
      </c>
      <c r="M28" t="str">
        <f>TEXT(tbl_Practice[[#This Row],[OrderDate]],"mmmm")</f>
        <v>March</v>
      </c>
      <c r="N28">
        <f>YEAR(tbl_Practice[[#This Row],[OrderDate]])</f>
        <v>2024</v>
      </c>
      <c r="O28" t="str">
        <f>TEXT(tbl_Practice[[#This Row],[OrderDate]],"mmm-yy")</f>
        <v>Mar-24</v>
      </c>
      <c r="P28" s="7" t="str">
        <f>"Q"&amp;INT((MONTH(tbl_Practice[[#This Row],[OrderDate]])-1)/3)+1&amp;"-"&amp;YEAR(tbl_Practice[[#This Row],[OrderDate]])</f>
        <v>Q1-2024</v>
      </c>
      <c r="Q28" s="9">
        <f>IFERROR(VLOOKUP(tbl_Practice[[#This Row],[ProductID]],Products!$A:$G,4,FALSE),0)</f>
        <v>24.99</v>
      </c>
      <c r="R28" s="9" t="str">
        <f>IFERROR(VLOOKUP(tbl_Practice[[#This Row],[ProductID]],Products!$A:$G,3,FALSE),"Unknown")</f>
        <v>Office Supplies</v>
      </c>
      <c r="S28" s="11">
        <f>VALUE(SUBSTITUTE(tbl_Practice[[#This Row],[Discount]], "%", ""))</f>
        <v>0.12</v>
      </c>
      <c r="T28" s="9">
        <f>tbl_Practice[[#This Row],[Quantity]]*tbl_Practice[[#This Row],[UnitPrice]]*(1-tbl_Practice[[#This Row],[DiscountValue]])</f>
        <v>21.991199999999999</v>
      </c>
      <c r="U28" s="9" t="str">
        <f>IF(tbl_Practice[[#This Row],[Revenue]]&gt;500,"Large","Standard")</f>
        <v>Standard</v>
      </c>
      <c r="V28" s="9">
        <f>(tbl_Practice[[#This Row],[UnitPrice]]-IFERROR(VLOOKUP(tbl_Practice[[#This Row],[ProductID]],Products!$A:$G,5,FALSE),0))*tbl_Practice[[#This Row],[Quantity]]*(1-tbl_Practice[[#This Row],[DiscountValue]])</f>
        <v>13.191199999999998</v>
      </c>
    </row>
    <row r="29" spans="1:22" x14ac:dyDescent="0.25">
      <c r="A29">
        <v>1028</v>
      </c>
      <c r="B29" t="s">
        <v>8</v>
      </c>
      <c r="C29" t="s">
        <v>23</v>
      </c>
      <c r="D29">
        <v>4</v>
      </c>
      <c r="E29" s="2">
        <v>45366</v>
      </c>
      <c r="F29" t="s">
        <v>26</v>
      </c>
      <c r="G29" s="3">
        <v>0.08</v>
      </c>
      <c r="H29" t="s">
        <v>33</v>
      </c>
      <c r="I29" t="str">
        <f>IFERROR(VLOOKUP(tbl_Practice[[#This Row],[CustomerID]],Customers!$A:$G,2,FALSE),"Unknown")</f>
        <v>John Smith</v>
      </c>
      <c r="J29" t="str">
        <f>TRIM(PROPER(tbl_Practice[[#This Row],[CustomerName]]))</f>
        <v>John Smith</v>
      </c>
      <c r="K29" t="str">
        <f>IFERROR(VLOOKUP(tbl_Practice[[#This Row],[CustomerID]],Customers!$A:$G,4,FALSE),"Unknown")</f>
        <v>Gold</v>
      </c>
      <c r="L29" t="str">
        <f>IFERROR(VLOOKUP(tbl_Practice[[#This Row],[CustomerID]],Customers!$A:$G,6,FALSE),"Unknown")</f>
        <v>New York</v>
      </c>
      <c r="M29" t="str">
        <f>TEXT(tbl_Practice[[#This Row],[OrderDate]],"mmmm")</f>
        <v>March</v>
      </c>
      <c r="N29">
        <f>YEAR(tbl_Practice[[#This Row],[OrderDate]])</f>
        <v>2024</v>
      </c>
      <c r="O29" t="str">
        <f>TEXT(tbl_Practice[[#This Row],[OrderDate]],"mmm-yy")</f>
        <v>Mar-24</v>
      </c>
      <c r="P29" s="7" t="str">
        <f>"Q"&amp;INT((MONTH(tbl_Practice[[#This Row],[OrderDate]])-1)/3)+1&amp;"-"&amp;YEAR(tbl_Practice[[#This Row],[OrderDate]])</f>
        <v>Q1-2024</v>
      </c>
      <c r="Q29" s="9">
        <f>IFERROR(VLOOKUP(tbl_Practice[[#This Row],[ProductID]],Products!$A:$G,4,FALSE),0)</f>
        <v>79.989999999999995</v>
      </c>
      <c r="R29" s="9" t="str">
        <f>IFERROR(VLOOKUP(tbl_Practice[[#This Row],[ProductID]],Products!$A:$G,3,FALSE),"Unknown")</f>
        <v>Home</v>
      </c>
      <c r="S29" s="11">
        <f>VALUE(SUBSTITUTE(tbl_Practice[[#This Row],[Discount]], "%", ""))</f>
        <v>0.08</v>
      </c>
      <c r="T29" s="9">
        <f>tbl_Practice[[#This Row],[Quantity]]*tbl_Practice[[#This Row],[UnitPrice]]*(1-tbl_Practice[[#This Row],[DiscountValue]])</f>
        <v>294.36320000000001</v>
      </c>
      <c r="U29" s="9" t="str">
        <f>IF(tbl_Practice[[#This Row],[Revenue]]&gt;500,"Large","Standard")</f>
        <v>Standard</v>
      </c>
      <c r="V29" s="9">
        <f>(tbl_Practice[[#This Row],[UnitPrice]]-IFERROR(VLOOKUP(tbl_Practice[[#This Row],[ProductID]],Products!$A:$G,5,FALSE),0))*tbl_Practice[[#This Row],[Quantity]]*(1-tbl_Practice[[#This Row],[DiscountValue]])</f>
        <v>147.16319999999999</v>
      </c>
    </row>
    <row r="30" spans="1:22" x14ac:dyDescent="0.25">
      <c r="A30">
        <v>1029</v>
      </c>
      <c r="B30" t="s">
        <v>11</v>
      </c>
      <c r="C30" t="s">
        <v>24</v>
      </c>
      <c r="D30">
        <v>2</v>
      </c>
      <c r="E30" s="2">
        <v>45369</v>
      </c>
      <c r="F30" t="s">
        <v>29</v>
      </c>
      <c r="G30" s="3">
        <v>0</v>
      </c>
      <c r="H30" t="s">
        <v>31</v>
      </c>
      <c r="I30" t="str">
        <f>IFERROR(VLOOKUP(tbl_Practice[[#This Row],[CustomerID]],Customers!$A:$G,2,FALSE),"Unknown")</f>
        <v>Maria Garcia</v>
      </c>
      <c r="J30" t="str">
        <f>TRIM(PROPER(tbl_Practice[[#This Row],[CustomerName]]))</f>
        <v>Maria Garcia</v>
      </c>
      <c r="K30" t="str">
        <f>IFERROR(VLOOKUP(tbl_Practice[[#This Row],[CustomerID]],Customers!$A:$G,4,FALSE),"Unknown")</f>
        <v>Gold</v>
      </c>
      <c r="L30" t="str">
        <f>IFERROR(VLOOKUP(tbl_Practice[[#This Row],[CustomerID]],Customers!$A:$G,6,FALSE),"Unknown")</f>
        <v>Houston</v>
      </c>
      <c r="M30" t="str">
        <f>TEXT(tbl_Practice[[#This Row],[OrderDate]],"mmmm")</f>
        <v>March</v>
      </c>
      <c r="N30">
        <f>YEAR(tbl_Practice[[#This Row],[OrderDate]])</f>
        <v>2024</v>
      </c>
      <c r="O30" t="str">
        <f>TEXT(tbl_Practice[[#This Row],[OrderDate]],"mmm-yy")</f>
        <v>Mar-24</v>
      </c>
      <c r="P30" s="7" t="str">
        <f>"Q"&amp;INT((MONTH(tbl_Practice[[#This Row],[OrderDate]])-1)/3)+1&amp;"-"&amp;YEAR(tbl_Practice[[#This Row],[OrderDate]])</f>
        <v>Q1-2024</v>
      </c>
      <c r="Q30" s="9">
        <f>IFERROR(VLOOKUP(tbl_Practice[[#This Row],[ProductID]],Products!$A:$G,4,FALSE),0)</f>
        <v>49.99</v>
      </c>
      <c r="R30" s="9" t="str">
        <f>IFERROR(VLOOKUP(tbl_Practice[[#This Row],[ProductID]],Products!$A:$G,3,FALSE),"Unknown")</f>
        <v>Electronics</v>
      </c>
      <c r="S30" s="11">
        <f>VALUE(SUBSTITUTE(tbl_Practice[[#This Row],[Discount]], "%", ""))</f>
        <v>0</v>
      </c>
      <c r="T30" s="9">
        <f>tbl_Practice[[#This Row],[Quantity]]*tbl_Practice[[#This Row],[UnitPrice]]*(1-tbl_Practice[[#This Row],[DiscountValue]])</f>
        <v>99.98</v>
      </c>
      <c r="U30" s="9" t="str">
        <f>IF(tbl_Practice[[#This Row],[Revenue]]&gt;500,"Large","Standard")</f>
        <v>Standard</v>
      </c>
      <c r="V30" s="9">
        <f>(tbl_Practice[[#This Row],[UnitPrice]]-IFERROR(VLOOKUP(tbl_Practice[[#This Row],[ProductID]],Products!$A:$G,5,FALSE),0))*tbl_Practice[[#This Row],[Quantity]]*(1-tbl_Practice[[#This Row],[DiscountValue]])</f>
        <v>49.980000000000004</v>
      </c>
    </row>
    <row r="31" spans="1:22" x14ac:dyDescent="0.25">
      <c r="A31">
        <v>1030</v>
      </c>
      <c r="B31" t="s">
        <v>12</v>
      </c>
      <c r="C31" t="s">
        <v>25</v>
      </c>
      <c r="D31">
        <v>5</v>
      </c>
      <c r="E31" s="2">
        <v>45371</v>
      </c>
      <c r="F31" t="s">
        <v>30</v>
      </c>
      <c r="G31" s="3">
        <v>0.2</v>
      </c>
      <c r="H31" t="s">
        <v>31</v>
      </c>
      <c r="I31" t="str">
        <f>IFERROR(VLOOKUP(tbl_Practice[[#This Row],[CustomerID]],Customers!$A:$G,2,FALSE),"Unknown")</f>
        <v>David Brown</v>
      </c>
      <c r="J31" t="str">
        <f>TRIM(PROPER(tbl_Practice[[#This Row],[CustomerName]]))</f>
        <v>David Brown</v>
      </c>
      <c r="K31" t="str">
        <f>IFERROR(VLOOKUP(tbl_Practice[[#This Row],[CustomerID]],Customers!$A:$G,4,FALSE),"Unknown")</f>
        <v>Silver</v>
      </c>
      <c r="L31" t="str">
        <f>IFERROR(VLOOKUP(tbl_Practice[[#This Row],[CustomerID]],Customers!$A:$G,6,FALSE),"Unknown")</f>
        <v>Phoenix</v>
      </c>
      <c r="M31" t="str">
        <f>TEXT(tbl_Practice[[#This Row],[OrderDate]],"mmmm")</f>
        <v>March</v>
      </c>
      <c r="N31">
        <f>YEAR(tbl_Practice[[#This Row],[OrderDate]])</f>
        <v>2024</v>
      </c>
      <c r="O31" t="str">
        <f>TEXT(tbl_Practice[[#This Row],[OrderDate]],"mmm-yy")</f>
        <v>Mar-24</v>
      </c>
      <c r="P31" s="7" t="str">
        <f>"Q"&amp;INT((MONTH(tbl_Practice[[#This Row],[OrderDate]])-1)/3)+1&amp;"-"&amp;YEAR(tbl_Practice[[#This Row],[OrderDate]])</f>
        <v>Q1-2024</v>
      </c>
      <c r="Q31" s="9">
        <f>IFERROR(VLOOKUP(tbl_Practice[[#This Row],[ProductID]],Products!$A:$G,4,FALSE),0)</f>
        <v>149.99</v>
      </c>
      <c r="R31" s="9" t="str">
        <f>IFERROR(VLOOKUP(tbl_Practice[[#This Row],[ProductID]],Products!$A:$G,3,FALSE),"Unknown")</f>
        <v>Furniture</v>
      </c>
      <c r="S31" s="11">
        <f>VALUE(SUBSTITUTE(tbl_Practice[[#This Row],[Discount]], "%", ""))</f>
        <v>0.2</v>
      </c>
      <c r="T31" s="9">
        <f>tbl_Practice[[#This Row],[Quantity]]*tbl_Practice[[#This Row],[UnitPrice]]*(1-tbl_Practice[[#This Row],[DiscountValue]])</f>
        <v>599.96</v>
      </c>
      <c r="U31" s="9" t="str">
        <f>IF(tbl_Practice[[#This Row],[Revenue]]&gt;500,"Large","Standard")</f>
        <v>Large</v>
      </c>
      <c r="V31" s="9">
        <f>(tbl_Practice[[#This Row],[UnitPrice]]-IFERROR(VLOOKUP(tbl_Practice[[#This Row],[ProductID]],Products!$A:$G,5,FALSE),0))*tbl_Practice[[#This Row],[Quantity]]*(1-tbl_Practice[[#This Row],[DiscountValue]])</f>
        <v>239.96000000000004</v>
      </c>
    </row>
    <row r="33" spans="11:13" x14ac:dyDescent="0.25">
      <c r="K33" s="18"/>
      <c r="L33" s="19"/>
      <c r="M33" s="20"/>
    </row>
    <row r="34" spans="11:13" x14ac:dyDescent="0.25">
      <c r="K34" s="21"/>
      <c r="L34" s="22"/>
      <c r="M34" s="23"/>
    </row>
    <row r="35" spans="11:13" x14ac:dyDescent="0.25">
      <c r="K35" s="21"/>
      <c r="L35" s="22"/>
      <c r="M35" s="23"/>
    </row>
    <row r="36" spans="11:13" x14ac:dyDescent="0.25">
      <c r="K36" s="21"/>
      <c r="L36" s="22"/>
      <c r="M36" s="23"/>
    </row>
    <row r="37" spans="11:13" x14ac:dyDescent="0.25">
      <c r="K37" s="21"/>
      <c r="L37" s="22"/>
      <c r="M37" s="23"/>
    </row>
    <row r="38" spans="11:13" x14ac:dyDescent="0.25">
      <c r="K38" s="21"/>
      <c r="L38" s="22"/>
      <c r="M38" s="23"/>
    </row>
    <row r="39" spans="11:13" x14ac:dyDescent="0.25">
      <c r="K39" s="21"/>
      <c r="L39" s="22"/>
      <c r="M39" s="23"/>
    </row>
    <row r="40" spans="11:13" x14ac:dyDescent="0.25">
      <c r="K40" s="21"/>
      <c r="L40" s="22"/>
      <c r="M40" s="23"/>
    </row>
    <row r="41" spans="11:13" x14ac:dyDescent="0.25">
      <c r="K41" s="21"/>
      <c r="L41" s="22"/>
      <c r="M41" s="23"/>
    </row>
    <row r="42" spans="11:13" x14ac:dyDescent="0.25">
      <c r="K42" s="21"/>
      <c r="L42" s="22"/>
      <c r="M42" s="23"/>
    </row>
    <row r="43" spans="11:13" x14ac:dyDescent="0.25">
      <c r="K43" s="21"/>
      <c r="L43" s="22"/>
      <c r="M43" s="23"/>
    </row>
    <row r="44" spans="11:13" x14ac:dyDescent="0.25">
      <c r="K44" s="21"/>
      <c r="L44" s="22"/>
      <c r="M44" s="23"/>
    </row>
    <row r="45" spans="11:13" x14ac:dyDescent="0.25">
      <c r="K45" s="21"/>
      <c r="L45" s="22"/>
      <c r="M45" s="23"/>
    </row>
    <row r="46" spans="11:13" x14ac:dyDescent="0.25">
      <c r="K46" s="21"/>
      <c r="L46" s="22"/>
      <c r="M46" s="23"/>
    </row>
    <row r="47" spans="11:13" x14ac:dyDescent="0.25">
      <c r="K47" s="21"/>
      <c r="L47" s="22"/>
      <c r="M47" s="23"/>
    </row>
    <row r="48" spans="11:13" x14ac:dyDescent="0.25">
      <c r="K48" s="21"/>
      <c r="L48" s="22"/>
      <c r="M48" s="23"/>
    </row>
    <row r="49" spans="11:13" x14ac:dyDescent="0.25">
      <c r="K49" s="21"/>
      <c r="L49" s="22"/>
      <c r="M49" s="23"/>
    </row>
    <row r="50" spans="11:13" x14ac:dyDescent="0.25">
      <c r="K50" s="24"/>
      <c r="L50" s="25"/>
      <c r="M50" s="26"/>
    </row>
  </sheetData>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5" sqref="B5"/>
    </sheetView>
  </sheetViews>
  <sheetFormatPr defaultRowHeight="15" x14ac:dyDescent="0.25"/>
  <cols>
    <col min="1" max="1" width="32" customWidth="1"/>
    <col min="2" max="2" width="27.5703125" customWidth="1"/>
  </cols>
  <sheetData>
    <row r="1" spans="1:2" ht="21" x14ac:dyDescent="0.35">
      <c r="A1" s="16" t="s">
        <v>110</v>
      </c>
      <c r="B1" s="16" t="s">
        <v>111</v>
      </c>
    </row>
    <row r="2" spans="1:2" x14ac:dyDescent="0.25">
      <c r="A2" t="s">
        <v>112</v>
      </c>
      <c r="B2">
        <f>SUMIFS(Data_Clean!T:T,Data_Clean!H:H,"Delivered",Data_Clean!F:F,"East")</f>
        <v>996.92200000000003</v>
      </c>
    </row>
    <row r="3" spans="1:2" x14ac:dyDescent="0.25">
      <c r="A3" t="s">
        <v>115</v>
      </c>
      <c r="B3">
        <f>COUNTIFS(Data_Clean!U:U,"Large",Data_Clean!K:K,"Silver")</f>
        <v>3</v>
      </c>
    </row>
    <row r="4" spans="1:2" x14ac:dyDescent="0.25">
      <c r="A4" t="s">
        <v>113</v>
      </c>
      <c r="B4" s="15">
        <f>AVERAGEIFS(Data_Clean!S:S,Data_Clean!R:R,"Furniture")</f>
        <v>9.1666666666666674E-2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showGridLines="0" tabSelected="1" workbookViewId="0">
      <selection activeCell="E11" sqref="E11"/>
    </sheetView>
  </sheetViews>
  <sheetFormatPr defaultRowHeight="15" x14ac:dyDescent="0.25"/>
  <cols>
    <col min="1" max="1" width="14.5703125" customWidth="1"/>
    <col min="2" max="2" width="15.5703125" style="17" customWidth="1"/>
    <col min="3" max="3" width="18.7109375" customWidth="1"/>
    <col min="4" max="4" width="12.140625" customWidth="1"/>
    <col min="5" max="5" width="13.85546875" customWidth="1"/>
  </cols>
  <sheetData>
    <row r="1" spans="1:3" s="31" customFormat="1" ht="26.25" x14ac:dyDescent="0.4">
      <c r="C1" s="31" t="s">
        <v>128</v>
      </c>
    </row>
    <row r="3" spans="1:3" x14ac:dyDescent="0.25">
      <c r="A3" s="1" t="s">
        <v>116</v>
      </c>
    </row>
    <row r="4" spans="1:3" x14ac:dyDescent="0.25">
      <c r="B4" s="29">
        <f>Analysis!B2</f>
        <v>996.92200000000003</v>
      </c>
      <c r="C4" s="32"/>
    </row>
    <row r="5" spans="1:3" x14ac:dyDescent="0.25">
      <c r="B5" s="29">
        <f>Analysis!B3</f>
        <v>3</v>
      </c>
    </row>
    <row r="6" spans="1:3" x14ac:dyDescent="0.25">
      <c r="B6" s="29">
        <f>Analysis!B4</f>
        <v>9.1666666666666674E-2</v>
      </c>
    </row>
    <row r="9" spans="1:3" x14ac:dyDescent="0.25">
      <c r="A9" s="1" t="s">
        <v>117</v>
      </c>
    </row>
    <row r="10" spans="1:3" x14ac:dyDescent="0.25">
      <c r="A10" s="27" t="s">
        <v>119</v>
      </c>
      <c r="B10" s="30" t="s">
        <v>124</v>
      </c>
    </row>
    <row r="11" spans="1:3" x14ac:dyDescent="0.25">
      <c r="A11" s="28" t="s">
        <v>120</v>
      </c>
      <c r="B11" s="30">
        <v>3643.1578</v>
      </c>
    </row>
    <row r="12" spans="1:3" x14ac:dyDescent="0.25">
      <c r="A12" s="28" t="s">
        <v>121</v>
      </c>
      <c r="B12" s="30">
        <v>2627.58</v>
      </c>
    </row>
    <row r="13" spans="1:3" x14ac:dyDescent="0.25">
      <c r="A13" s="28" t="s">
        <v>122</v>
      </c>
      <c r="B13" s="30">
        <v>1953.9838000000002</v>
      </c>
    </row>
    <row r="14" spans="1:3" x14ac:dyDescent="0.25">
      <c r="A14" s="28" t="s">
        <v>123</v>
      </c>
      <c r="B14" s="30">
        <v>8224.7216000000008</v>
      </c>
    </row>
    <row r="15" spans="1:3" x14ac:dyDescent="0.25">
      <c r="B15"/>
    </row>
    <row r="16" spans="1:3" x14ac:dyDescent="0.25">
      <c r="B16"/>
    </row>
    <row r="17" spans="1:5" x14ac:dyDescent="0.25">
      <c r="B17"/>
    </row>
    <row r="18" spans="1:5" x14ac:dyDescent="0.25">
      <c r="B18"/>
      <c r="D18" s="1" t="s">
        <v>118</v>
      </c>
    </row>
    <row r="19" spans="1:5" x14ac:dyDescent="0.25">
      <c r="B19"/>
      <c r="E19" s="30"/>
    </row>
    <row r="20" spans="1:5" x14ac:dyDescent="0.25">
      <c r="A20" s="1" t="s">
        <v>127</v>
      </c>
      <c r="B20"/>
      <c r="D20" s="27" t="s">
        <v>125</v>
      </c>
      <c r="E20" s="30" t="s">
        <v>126</v>
      </c>
    </row>
    <row r="21" spans="1:5" x14ac:dyDescent="0.25">
      <c r="A21" s="27" t="s">
        <v>119</v>
      </c>
      <c r="B21" s="30" t="s">
        <v>124</v>
      </c>
      <c r="D21" s="28" t="s">
        <v>74</v>
      </c>
      <c r="E21" s="30">
        <v>1355.8789999999999</v>
      </c>
    </row>
    <row r="22" spans="1:5" x14ac:dyDescent="0.25">
      <c r="A22" s="28" t="s">
        <v>52</v>
      </c>
      <c r="B22" s="30">
        <v>3871.3279999999995</v>
      </c>
      <c r="D22" s="28" t="s">
        <v>70</v>
      </c>
      <c r="E22" s="30">
        <v>704.3454999999999</v>
      </c>
    </row>
    <row r="23" spans="1:5" x14ac:dyDescent="0.25">
      <c r="A23" s="28" t="s">
        <v>53</v>
      </c>
      <c r="B23" s="30">
        <v>2939.8470000000002</v>
      </c>
      <c r="D23" s="28" t="s">
        <v>72</v>
      </c>
      <c r="E23" s="30">
        <v>705.93810000000008</v>
      </c>
    </row>
    <row r="24" spans="1:5" x14ac:dyDescent="0.25">
      <c r="A24" s="28" t="s">
        <v>54</v>
      </c>
      <c r="B24" s="30">
        <v>1316.5854000000002</v>
      </c>
      <c r="D24" s="28" t="s">
        <v>67</v>
      </c>
      <c r="E24" s="30">
        <v>1138.3107</v>
      </c>
    </row>
    <row r="25" spans="1:5" x14ac:dyDescent="0.25">
      <c r="A25" s="28" t="s">
        <v>55</v>
      </c>
      <c r="B25" s="30">
        <v>96.961199999999991</v>
      </c>
      <c r="D25" s="28" t="s">
        <v>71</v>
      </c>
      <c r="E25" s="30">
        <v>2639.7990000000004</v>
      </c>
    </row>
    <row r="26" spans="1:5" x14ac:dyDescent="0.25">
      <c r="A26" s="28" t="s">
        <v>123</v>
      </c>
      <c r="B26" s="30">
        <v>8224.7215999999989</v>
      </c>
      <c r="D26" s="28" t="s">
        <v>123</v>
      </c>
      <c r="E26" s="30">
        <v>6544.2723000000005</v>
      </c>
    </row>
    <row r="27" spans="1:5" x14ac:dyDescent="0.25">
      <c r="B27"/>
    </row>
    <row r="28" spans="1:5" x14ac:dyDescent="0.25">
      <c r="B28"/>
    </row>
    <row r="29" spans="1:5" x14ac:dyDescent="0.25">
      <c r="B29"/>
    </row>
    <row r="30" spans="1:5" x14ac:dyDescent="0.25">
      <c r="B30"/>
    </row>
    <row r="31" spans="1:5" x14ac:dyDescent="0.25">
      <c r="B31"/>
    </row>
    <row r="32" spans="1:5"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showGridLines="0" topLeftCell="A4" zoomScaleNormal="100" workbookViewId="0">
      <selection activeCell="A30" sqref="A30"/>
    </sheetView>
  </sheetViews>
  <sheetFormatPr defaultRowHeight="15" x14ac:dyDescent="0.25"/>
  <cols>
    <col min="1" max="1" width="34" style="34" customWidth="1"/>
    <col min="2" max="2" width="15" style="34" customWidth="1"/>
    <col min="3" max="3" width="39.5703125" style="34" customWidth="1"/>
    <col min="4" max="4" width="14.5703125" style="34" customWidth="1"/>
    <col min="5" max="7" width="9.140625" style="34"/>
    <col min="8" max="8" width="14.85546875" style="34" customWidth="1"/>
    <col min="9" max="16384" width="9.140625" style="34"/>
  </cols>
  <sheetData>
    <row r="1" spans="1:6" ht="26.25" x14ac:dyDescent="0.4">
      <c r="A1" s="49" t="s">
        <v>174</v>
      </c>
      <c r="B1" s="33"/>
      <c r="C1" s="33"/>
      <c r="D1" s="33"/>
      <c r="E1" s="33"/>
      <c r="F1" s="33"/>
    </row>
    <row r="2" spans="1:6" ht="18.75" x14ac:dyDescent="0.3">
      <c r="D2" s="41" t="s">
        <v>170</v>
      </c>
      <c r="E2" s="42"/>
    </row>
    <row r="3" spans="1:6" ht="21" x14ac:dyDescent="0.35">
      <c r="A3" s="40" t="s">
        <v>129</v>
      </c>
      <c r="D3" s="35" t="s">
        <v>171</v>
      </c>
    </row>
    <row r="4" spans="1:6" x14ac:dyDescent="0.25">
      <c r="D4" s="35" t="s">
        <v>151</v>
      </c>
    </row>
    <row r="5" spans="1:6" x14ac:dyDescent="0.25">
      <c r="A5" s="36" t="s">
        <v>134</v>
      </c>
      <c r="C5" s="34" t="s">
        <v>131</v>
      </c>
      <c r="D5" s="35" t="s">
        <v>172</v>
      </c>
    </row>
    <row r="6" spans="1:6" x14ac:dyDescent="0.25">
      <c r="A6" s="36" t="s">
        <v>133</v>
      </c>
      <c r="D6" s="35" t="s">
        <v>173</v>
      </c>
    </row>
    <row r="7" spans="1:6" x14ac:dyDescent="0.25">
      <c r="A7" s="36" t="s">
        <v>132</v>
      </c>
    </row>
    <row r="8" spans="1:6" x14ac:dyDescent="0.25">
      <c r="A8" s="37" t="s">
        <v>130</v>
      </c>
    </row>
    <row r="9" spans="1:6" x14ac:dyDescent="0.25">
      <c r="A9" s="38" t="s">
        <v>135</v>
      </c>
    </row>
    <row r="10" spans="1:6" x14ac:dyDescent="0.25">
      <c r="A10" s="39" t="s">
        <v>136</v>
      </c>
    </row>
    <row r="11" spans="1:6" x14ac:dyDescent="0.25">
      <c r="A11" s="39" t="s">
        <v>137</v>
      </c>
    </row>
    <row r="14" spans="1:6" x14ac:dyDescent="0.25">
      <c r="A14" s="43" t="s">
        <v>151</v>
      </c>
    </row>
    <row r="15" spans="1:6" x14ac:dyDescent="0.25">
      <c r="A15" s="45" t="s">
        <v>138</v>
      </c>
      <c r="B15" s="45" t="s">
        <v>139</v>
      </c>
      <c r="C15" s="45" t="s">
        <v>140</v>
      </c>
      <c r="D15" s="45" t="s">
        <v>141</v>
      </c>
    </row>
    <row r="16" spans="1:6" x14ac:dyDescent="0.25">
      <c r="A16" s="45" t="s">
        <v>142</v>
      </c>
      <c r="B16" s="45" t="s">
        <v>0</v>
      </c>
      <c r="C16" s="45" t="s">
        <v>143</v>
      </c>
      <c r="D16" s="45">
        <v>1001</v>
      </c>
    </row>
    <row r="17" spans="1:4" x14ac:dyDescent="0.25">
      <c r="A17" s="45" t="s">
        <v>142</v>
      </c>
      <c r="B17" s="45" t="s">
        <v>105</v>
      </c>
      <c r="C17" s="45" t="s">
        <v>144</v>
      </c>
      <c r="D17" s="46">
        <v>53.98</v>
      </c>
    </row>
    <row r="18" spans="1:4" x14ac:dyDescent="0.25">
      <c r="A18" s="45" t="s">
        <v>142</v>
      </c>
      <c r="B18" s="45" t="s">
        <v>114</v>
      </c>
      <c r="C18" s="45" t="s">
        <v>145</v>
      </c>
      <c r="D18" s="45" t="s">
        <v>146</v>
      </c>
    </row>
    <row r="19" spans="1:4" x14ac:dyDescent="0.25">
      <c r="A19" s="45" t="s">
        <v>147</v>
      </c>
      <c r="B19" s="45" t="s">
        <v>37</v>
      </c>
      <c r="C19" s="45" t="s">
        <v>148</v>
      </c>
      <c r="D19" s="45" t="s">
        <v>52</v>
      </c>
    </row>
    <row r="20" spans="1:4" x14ac:dyDescent="0.25">
      <c r="A20" s="45" t="s">
        <v>149</v>
      </c>
      <c r="B20" s="45" t="s">
        <v>63</v>
      </c>
      <c r="C20" s="45" t="s">
        <v>150</v>
      </c>
      <c r="D20" s="45"/>
    </row>
    <row r="21" spans="1:4" x14ac:dyDescent="0.25">
      <c r="A21" s="45"/>
      <c r="B21" s="45"/>
      <c r="C21" s="45"/>
      <c r="D21" s="45"/>
    </row>
    <row r="22" spans="1:4" ht="19.5" x14ac:dyDescent="0.3">
      <c r="A22" s="44" t="s">
        <v>152</v>
      </c>
      <c r="B22" s="45"/>
      <c r="C22" s="45"/>
      <c r="D22" s="45"/>
    </row>
    <row r="23" spans="1:4" x14ac:dyDescent="0.25">
      <c r="A23" s="47" t="s">
        <v>153</v>
      </c>
      <c r="B23" s="45"/>
      <c r="C23" s="45"/>
      <c r="D23" s="45"/>
    </row>
    <row r="24" spans="1:4" x14ac:dyDescent="0.25">
      <c r="A24" s="45" t="s">
        <v>154</v>
      </c>
      <c r="B24" s="45"/>
      <c r="C24" s="45"/>
      <c r="D24" s="45"/>
    </row>
    <row r="25" spans="1:4" x14ac:dyDescent="0.25">
      <c r="A25" s="45" t="s">
        <v>155</v>
      </c>
      <c r="B25" s="45"/>
      <c r="C25" s="45"/>
      <c r="D25" s="45"/>
    </row>
    <row r="26" spans="1:4" x14ac:dyDescent="0.25">
      <c r="A26" s="45" t="s">
        <v>156</v>
      </c>
      <c r="B26" s="45"/>
      <c r="C26" s="45"/>
      <c r="D26" s="45"/>
    </row>
    <row r="27" spans="1:4" x14ac:dyDescent="0.25">
      <c r="A27" s="45" t="s">
        <v>157</v>
      </c>
      <c r="B27" s="45"/>
      <c r="C27" s="45"/>
      <c r="D27" s="45"/>
    </row>
    <row r="28" spans="1:4" x14ac:dyDescent="0.25">
      <c r="A28" s="45" t="s">
        <v>158</v>
      </c>
      <c r="B28" s="45"/>
      <c r="C28" s="45"/>
      <c r="D28" s="45"/>
    </row>
    <row r="29" spans="1:4" x14ac:dyDescent="0.25">
      <c r="A29" s="45" t="s">
        <v>159</v>
      </c>
      <c r="B29" s="45"/>
      <c r="C29" s="45"/>
      <c r="D29" s="45"/>
    </row>
    <row r="30" spans="1:4" ht="19.5" x14ac:dyDescent="0.3">
      <c r="A30" s="44" t="s">
        <v>160</v>
      </c>
      <c r="B30" s="45"/>
      <c r="C30" s="45"/>
      <c r="D30" s="45"/>
    </row>
    <row r="31" spans="1:4" x14ac:dyDescent="0.25">
      <c r="A31" s="47" t="s">
        <v>161</v>
      </c>
      <c r="B31" s="45"/>
      <c r="C31" s="45"/>
      <c r="D31" s="45"/>
    </row>
    <row r="32" spans="1:4" x14ac:dyDescent="0.25">
      <c r="A32" s="45" t="s">
        <v>162</v>
      </c>
      <c r="B32" s="45"/>
      <c r="C32" s="45"/>
      <c r="D32" s="45"/>
    </row>
    <row r="33" spans="1:4" x14ac:dyDescent="0.25">
      <c r="A33" s="45" t="s">
        <v>163</v>
      </c>
      <c r="B33" s="45"/>
      <c r="C33" s="45"/>
      <c r="D33" s="45"/>
    </row>
    <row r="34" spans="1:4" x14ac:dyDescent="0.25">
      <c r="A34" s="45" t="s">
        <v>164</v>
      </c>
      <c r="B34" s="45"/>
      <c r="C34" s="45"/>
      <c r="D34" s="45"/>
    </row>
    <row r="35" spans="1:4" x14ac:dyDescent="0.25">
      <c r="A35" s="45" t="s">
        <v>165</v>
      </c>
      <c r="B35" s="45"/>
      <c r="C35" s="45"/>
      <c r="D35" s="45"/>
    </row>
    <row r="37" spans="1:4" x14ac:dyDescent="0.25">
      <c r="A37" s="48" t="s">
        <v>166</v>
      </c>
    </row>
    <row r="38" spans="1:4" x14ac:dyDescent="0.25">
      <c r="A38" s="34" t="s">
        <v>167</v>
      </c>
    </row>
    <row r="39" spans="1:4" x14ac:dyDescent="0.25">
      <c r="A39" s="34" t="s">
        <v>168</v>
      </c>
    </row>
    <row r="40" spans="1:4" x14ac:dyDescent="0.25">
      <c r="A40" s="34" t="s">
        <v>169</v>
      </c>
    </row>
  </sheetData>
  <hyperlinks>
    <hyperlink ref="D6" location="_README!A30" display="How to Use"/>
    <hyperlink ref="D5" location="_README!A23" display="Sheets"/>
    <hyperlink ref="D4" location="_README!A14" display="Data Dictionary"/>
    <hyperlink ref="D3" location="_README!A3" display="Overview"/>
  </hyperlinks>
  <pageMargins left="0.25" right="0.25" top="0.75" bottom="0.75" header="0.3" footer="0.3"/>
  <pageSetup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7" sqref="B7"/>
    </sheetView>
  </sheetViews>
  <sheetFormatPr defaultRowHeight="15" x14ac:dyDescent="0.25"/>
  <cols>
    <col min="1" max="1" width="22.7109375" customWidth="1"/>
  </cols>
  <sheetData>
    <row r="1" spans="1:2" x14ac:dyDescent="0.25">
      <c r="A1" t="s">
        <v>178</v>
      </c>
    </row>
    <row r="3" spans="1:2" x14ac:dyDescent="0.25">
      <c r="A3" t="s">
        <v>179</v>
      </c>
      <c r="B3">
        <f>COUNTIF(Data_Clean!B:B,"C???"-COUNTA(Customers!A:A))</f>
        <v>0</v>
      </c>
    </row>
    <row r="4" spans="1:2" x14ac:dyDescent="0.25">
      <c r="A4" t="s">
        <v>180</v>
      </c>
      <c r="B4">
        <f>COUNTIF(Data_Clean!C:C,"P???")-COUNTA(Products!A:A)</f>
        <v>19</v>
      </c>
    </row>
    <row r="5" spans="1:2" x14ac:dyDescent="0.25">
      <c r="A5" t="s">
        <v>181</v>
      </c>
      <c r="B5">
        <f>COUNTIF(Orders!F:F,"&lt;&gt;North")+COUNTIF(Orders!F:F,"&lt;&gt;South"+COUNTIF(Orders!F:F,"&lt;&gt;East"+COUNTIF(Orders!F:F,"&lt;&gt;West")-COUNTA(Orders!F:F)))</f>
        <v>1048569</v>
      </c>
    </row>
    <row r="6" spans="1:2" x14ac:dyDescent="0.25">
      <c r="A6" t="s">
        <v>182</v>
      </c>
      <c r="B6">
        <f>COUNTIF(Orders!F:F,"west"+COUNTIF(Orders!H:H,"Delivered"))</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Products</vt:lpstr>
      <vt:lpstr>Customers</vt:lpstr>
      <vt:lpstr>Data_Clean</vt:lpstr>
      <vt:lpstr>Analysis</vt:lpstr>
      <vt:lpstr>Dashboard</vt:lpstr>
      <vt:lpstr>_README</vt:lpstr>
      <vt:lpstr>Error Check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2026-02-01T17:38:24Z</dcterms:modified>
</cp:coreProperties>
</file>